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C997327-A680-41AF-A03E-040E9326001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aw data" sheetId="3" r:id="rId1"/>
    <sheet name="Vehicle_Master" sheetId="2" r:id="rId2"/>
    <sheet name="Trip_Data_worksheet" sheetId="1" r:id="rId3"/>
    <sheet name="pivot analysis" sheetId="6" r:id="rId4"/>
    <sheet name="workdone " sheetId="7" r:id="rId5"/>
  </sheets>
  <calcPr calcId="191029"/>
  <pivotCaches>
    <pivotCache cacheId="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OjtSIExpDRuFWnRkkRNPCcbsYmD++x9KnTgdhKmFnpw="/>
    </ext>
  </extLst>
</workbook>
</file>

<file path=xl/calcChain.xml><?xml version="1.0" encoding="utf-8"?>
<calcChain xmlns="http://schemas.openxmlformats.org/spreadsheetml/2006/main">
  <c r="D73" i="1" l="1"/>
  <c r="D74" i="1"/>
  <c r="D75" i="1"/>
  <c r="D76" i="1"/>
  <c r="D77" i="1"/>
  <c r="D78" i="1"/>
  <c r="D79" i="1"/>
  <c r="E79" i="1" s="1"/>
  <c r="D80" i="1"/>
  <c r="D81" i="1"/>
  <c r="D72" i="1"/>
  <c r="C81" i="1"/>
  <c r="C80" i="1"/>
  <c r="C79" i="1"/>
  <c r="C72" i="1"/>
  <c r="C78" i="1"/>
  <c r="C77" i="1"/>
  <c r="E77" i="1" s="1"/>
  <c r="C76" i="1"/>
  <c r="E76" i="1" s="1"/>
  <c r="C75" i="1"/>
  <c r="C74" i="1"/>
  <c r="C73" i="1"/>
  <c r="E74" i="1" l="1"/>
  <c r="E73" i="1"/>
  <c r="E72" i="1"/>
  <c r="E81" i="1"/>
  <c r="E80" i="1"/>
  <c r="E75" i="1"/>
  <c r="E78" i="1"/>
  <c r="G66" i="1"/>
  <c r="L57" i="1"/>
  <c r="G56" i="1"/>
  <c r="G65" i="1"/>
  <c r="G62" i="1"/>
  <c r="G61" i="1"/>
  <c r="G58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2" i="1"/>
  <c r="I9" i="1"/>
  <c r="D10" i="2"/>
  <c r="G44" i="1"/>
  <c r="I2" i="1"/>
  <c r="I3" i="1"/>
  <c r="I4" i="1"/>
  <c r="I5" i="1"/>
  <c r="I6" i="1"/>
  <c r="I7" i="1"/>
  <c r="I8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5" i="1"/>
  <c r="I46" i="1"/>
  <c r="I47" i="1"/>
  <c r="I48" i="1"/>
  <c r="I49" i="1"/>
  <c r="I50" i="1"/>
  <c r="I51" i="1"/>
  <c r="N2" i="1" a="1"/>
  <c r="N2" i="1" s="1"/>
  <c r="N3" i="1" a="1"/>
  <c r="N3" i="1" s="1"/>
  <c r="N4" i="1" a="1"/>
  <c r="N4" i="1" s="1"/>
  <c r="N5" i="1" a="1"/>
  <c r="N5" i="1" s="1"/>
  <c r="N6" i="1" a="1"/>
  <c r="N6" i="1" s="1"/>
  <c r="N7" i="1" a="1"/>
  <c r="N7" i="1" s="1"/>
  <c r="N8" i="1" a="1"/>
  <c r="N8" i="1" s="1"/>
  <c r="N9" i="1" a="1"/>
  <c r="N9" i="1" s="1"/>
  <c r="N10" i="1" a="1"/>
  <c r="N10" i="1" s="1"/>
  <c r="N11" i="1" a="1"/>
  <c r="N11" i="1" s="1"/>
  <c r="N12" i="1" a="1"/>
  <c r="N12" i="1" s="1"/>
  <c r="N13" i="1" a="1"/>
  <c r="N13" i="1" s="1"/>
  <c r="N14" i="1" a="1"/>
  <c r="N14" i="1" s="1"/>
  <c r="N15" i="1" a="1"/>
  <c r="N15" i="1" s="1"/>
  <c r="N16" i="1" a="1"/>
  <c r="N16" i="1" s="1"/>
  <c r="N17" i="1" a="1"/>
  <c r="N17" i="1" s="1"/>
  <c r="N18" i="1" a="1"/>
  <c r="N18" i="1" s="1"/>
  <c r="N19" i="1" a="1"/>
  <c r="N19" i="1" s="1"/>
  <c r="N20" i="1" a="1"/>
  <c r="N20" i="1" s="1"/>
  <c r="N21" i="1" a="1"/>
  <c r="N21" i="1" s="1"/>
  <c r="N22" i="1" a="1"/>
  <c r="N22" i="1" s="1"/>
  <c r="N23" i="1" a="1"/>
  <c r="N23" i="1" s="1"/>
  <c r="N24" i="1" a="1"/>
  <c r="N24" i="1" s="1"/>
  <c r="N25" i="1" a="1"/>
  <c r="N25" i="1" s="1"/>
  <c r="N26" i="1" a="1"/>
  <c r="N26" i="1" s="1"/>
  <c r="N27" i="1" a="1"/>
  <c r="N27" i="1" s="1"/>
  <c r="N28" i="1" a="1"/>
  <c r="N28" i="1" s="1"/>
  <c r="N29" i="1" a="1"/>
  <c r="N29" i="1" s="1"/>
  <c r="N30" i="1" a="1"/>
  <c r="N30" i="1" s="1"/>
  <c r="N31" i="1" a="1"/>
  <c r="N31" i="1" s="1"/>
  <c r="N32" i="1" a="1"/>
  <c r="N32" i="1" s="1"/>
  <c r="N33" i="1" a="1"/>
  <c r="N33" i="1" s="1"/>
  <c r="N34" i="1" a="1"/>
  <c r="N34" i="1" s="1"/>
  <c r="N35" i="1" a="1"/>
  <c r="N35" i="1" s="1"/>
  <c r="N36" i="1" a="1"/>
  <c r="N36" i="1" s="1"/>
  <c r="N37" i="1" a="1"/>
  <c r="N37" i="1" s="1"/>
  <c r="N38" i="1" a="1"/>
  <c r="N38" i="1" s="1"/>
  <c r="N39" i="1" a="1"/>
  <c r="N39" i="1" s="1"/>
  <c r="N40" i="1" a="1"/>
  <c r="N40" i="1" s="1"/>
  <c r="N41" i="1" a="1"/>
  <c r="N41" i="1" s="1"/>
  <c r="N42" i="1" a="1"/>
  <c r="N42" i="1" s="1"/>
  <c r="N43" i="1" a="1"/>
  <c r="N43" i="1" s="1"/>
  <c r="N44" i="1" a="1"/>
  <c r="N44" i="1" s="1"/>
  <c r="N45" i="1" a="1"/>
  <c r="N45" i="1" s="1"/>
  <c r="N46" i="1" a="1"/>
  <c r="N46" i="1" s="1"/>
  <c r="N47" i="1" a="1"/>
  <c r="N47" i="1" s="1"/>
  <c r="N48" i="1" a="1"/>
  <c r="N48" i="1" s="1"/>
  <c r="N49" i="1" a="1"/>
  <c r="N49" i="1" s="1"/>
  <c r="N50" i="1" a="1"/>
  <c r="N50" i="1" s="1"/>
  <c r="N51" i="1" a="1"/>
  <c r="N51" i="1" s="1"/>
  <c r="M2" i="1" a="1"/>
  <c r="M2" i="1" s="1"/>
  <c r="M3" i="1" a="1"/>
  <c r="M3" i="1" s="1"/>
  <c r="M4" i="1" a="1"/>
  <c r="M4" i="1" s="1"/>
  <c r="M5" i="1" a="1"/>
  <c r="M5" i="1" s="1"/>
  <c r="M6" i="1" a="1"/>
  <c r="M6" i="1" s="1"/>
  <c r="M7" i="1" a="1"/>
  <c r="M7" i="1" s="1"/>
  <c r="M8" i="1" a="1"/>
  <c r="M8" i="1" s="1"/>
  <c r="M9" i="1" a="1"/>
  <c r="M9" i="1" s="1"/>
  <c r="M10" i="1" a="1"/>
  <c r="M10" i="1" s="1"/>
  <c r="M11" i="1" a="1"/>
  <c r="M11" i="1" s="1"/>
  <c r="M12" i="1" a="1"/>
  <c r="M12" i="1" s="1"/>
  <c r="M13" i="1" a="1"/>
  <c r="M13" i="1" s="1"/>
  <c r="M14" i="1" a="1"/>
  <c r="M14" i="1" s="1"/>
  <c r="M15" i="1" a="1"/>
  <c r="M15" i="1" s="1"/>
  <c r="M16" i="1" a="1"/>
  <c r="M16" i="1" s="1"/>
  <c r="M17" i="1" a="1"/>
  <c r="M17" i="1" s="1"/>
  <c r="M18" i="1" a="1"/>
  <c r="M18" i="1" s="1"/>
  <c r="M19" i="1" a="1"/>
  <c r="M19" i="1" s="1"/>
  <c r="M20" i="1" a="1"/>
  <c r="M20" i="1" s="1"/>
  <c r="M21" i="1" a="1"/>
  <c r="M21" i="1" s="1"/>
  <c r="M22" i="1" a="1"/>
  <c r="M22" i="1" s="1"/>
  <c r="M23" i="1" a="1"/>
  <c r="M23" i="1" s="1"/>
  <c r="M24" i="1" a="1"/>
  <c r="M24" i="1" s="1"/>
  <c r="M25" i="1" a="1"/>
  <c r="M25" i="1" s="1"/>
  <c r="M26" i="1" a="1"/>
  <c r="M26" i="1" s="1"/>
  <c r="M27" i="1" a="1"/>
  <c r="M27" i="1" s="1"/>
  <c r="M28" i="1" a="1"/>
  <c r="M28" i="1" s="1"/>
  <c r="M29" i="1" a="1"/>
  <c r="M29" i="1" s="1"/>
  <c r="M30" i="1" a="1"/>
  <c r="M30" i="1" s="1"/>
  <c r="M31" i="1" a="1"/>
  <c r="M31" i="1" s="1"/>
  <c r="M32" i="1" a="1"/>
  <c r="M32" i="1" s="1"/>
  <c r="M33" i="1" a="1"/>
  <c r="M33" i="1" s="1"/>
  <c r="M34" i="1" a="1"/>
  <c r="M34" i="1" s="1"/>
  <c r="M35" i="1" a="1"/>
  <c r="M35" i="1" s="1"/>
  <c r="M36" i="1" a="1"/>
  <c r="M36" i="1" s="1"/>
  <c r="M37" i="1" a="1"/>
  <c r="M37" i="1" s="1"/>
  <c r="M38" i="1" a="1"/>
  <c r="M38" i="1" s="1"/>
  <c r="M39" i="1" a="1"/>
  <c r="M39" i="1" s="1"/>
  <c r="M40" i="1" a="1"/>
  <c r="M40" i="1" s="1"/>
  <c r="M41" i="1" a="1"/>
  <c r="M41" i="1" s="1"/>
  <c r="M42" i="1" a="1"/>
  <c r="M42" i="1" s="1"/>
  <c r="M43" i="1" a="1"/>
  <c r="M43" i="1" s="1"/>
  <c r="M44" i="1" a="1"/>
  <c r="M44" i="1" s="1"/>
  <c r="M45" i="1" a="1"/>
  <c r="M45" i="1" s="1"/>
  <c r="M46" i="1" a="1"/>
  <c r="M46" i="1" s="1"/>
  <c r="M47" i="1" a="1"/>
  <c r="M47" i="1" s="1"/>
  <c r="M48" i="1" a="1"/>
  <c r="M48" i="1" s="1"/>
  <c r="M49" i="1" a="1"/>
  <c r="M49" i="1" s="1"/>
  <c r="M50" i="1" a="1"/>
  <c r="M50" i="1" s="1"/>
  <c r="M51" i="1" a="1"/>
  <c r="M51" i="1" s="1"/>
  <c r="L2" i="1" a="1"/>
  <c r="L2" i="1" s="1"/>
  <c r="L3" i="1" a="1"/>
  <c r="L3" i="1" s="1"/>
  <c r="L4" i="1" a="1"/>
  <c r="L4" i="1" s="1"/>
  <c r="L5" i="1" a="1"/>
  <c r="L5" i="1" s="1"/>
  <c r="L6" i="1" a="1"/>
  <c r="L6" i="1" s="1"/>
  <c r="L7" i="1" a="1"/>
  <c r="L7" i="1" s="1"/>
  <c r="L8" i="1" a="1"/>
  <c r="L8" i="1" s="1"/>
  <c r="L9" i="1" a="1"/>
  <c r="L9" i="1" s="1"/>
  <c r="L10" i="1" a="1"/>
  <c r="L10" i="1" s="1"/>
  <c r="L11" i="1" a="1"/>
  <c r="L11" i="1" s="1"/>
  <c r="L12" i="1" a="1"/>
  <c r="L12" i="1" s="1"/>
  <c r="L13" i="1" a="1"/>
  <c r="L13" i="1" s="1"/>
  <c r="L14" i="1" a="1"/>
  <c r="L14" i="1" s="1"/>
  <c r="L15" i="1" a="1"/>
  <c r="L15" i="1" s="1"/>
  <c r="L16" i="1" a="1"/>
  <c r="L16" i="1" s="1"/>
  <c r="L17" i="1" a="1"/>
  <c r="L17" i="1" s="1"/>
  <c r="L18" i="1" a="1"/>
  <c r="L18" i="1" s="1"/>
  <c r="L19" i="1" a="1"/>
  <c r="L19" i="1" s="1"/>
  <c r="L20" i="1" a="1"/>
  <c r="L20" i="1" s="1"/>
  <c r="L21" i="1" a="1"/>
  <c r="L21" i="1" s="1"/>
  <c r="L22" i="1" a="1"/>
  <c r="L22" i="1" s="1"/>
  <c r="L23" i="1" a="1"/>
  <c r="L23" i="1" s="1"/>
  <c r="L24" i="1" a="1"/>
  <c r="L24" i="1" s="1"/>
  <c r="L25" i="1" a="1"/>
  <c r="L25" i="1" s="1"/>
  <c r="L26" i="1" a="1"/>
  <c r="L26" i="1" s="1"/>
  <c r="L27" i="1" a="1"/>
  <c r="L27" i="1" s="1"/>
  <c r="L28" i="1" a="1"/>
  <c r="L28" i="1" s="1"/>
  <c r="L29" i="1" a="1"/>
  <c r="L29" i="1" s="1"/>
  <c r="L30" i="1" a="1"/>
  <c r="L30" i="1" s="1"/>
  <c r="L31" i="1" a="1"/>
  <c r="L31" i="1" s="1"/>
  <c r="L32" i="1" a="1"/>
  <c r="L32" i="1" s="1"/>
  <c r="L33" i="1" a="1"/>
  <c r="L33" i="1" s="1"/>
  <c r="L34" i="1" a="1"/>
  <c r="L34" i="1" s="1"/>
  <c r="L35" i="1" a="1"/>
  <c r="L35" i="1" s="1"/>
  <c r="L36" i="1" a="1"/>
  <c r="L36" i="1" s="1"/>
  <c r="L37" i="1" a="1"/>
  <c r="L37" i="1" s="1"/>
  <c r="L38" i="1" a="1"/>
  <c r="L38" i="1" s="1"/>
  <c r="L39" i="1" a="1"/>
  <c r="L39" i="1" s="1"/>
  <c r="L40" i="1" a="1"/>
  <c r="L40" i="1" s="1"/>
  <c r="L41" i="1" a="1"/>
  <c r="L41" i="1" s="1"/>
  <c r="L42" i="1" a="1"/>
  <c r="L42" i="1" s="1"/>
  <c r="L43" i="1" a="1"/>
  <c r="L43" i="1" s="1"/>
  <c r="L44" i="1" a="1"/>
  <c r="L44" i="1" s="1"/>
  <c r="L45" i="1" a="1"/>
  <c r="L45" i="1" s="1"/>
  <c r="L46" i="1" a="1"/>
  <c r="L46" i="1" s="1"/>
  <c r="L47" i="1" a="1"/>
  <c r="L47" i="1" s="1"/>
  <c r="L48" i="1" a="1"/>
  <c r="L48" i="1" s="1"/>
  <c r="L49" i="1" a="1"/>
  <c r="L49" i="1" s="1"/>
  <c r="L50" i="1" a="1"/>
  <c r="L50" i="1" s="1"/>
  <c r="L51" i="1" a="1"/>
  <c r="L51" i="1" s="1"/>
  <c r="G57" i="1" l="1"/>
  <c r="G67" i="1" s="1"/>
  <c r="G63" i="1"/>
  <c r="G64" i="1"/>
  <c r="G59" i="1"/>
  <c r="I4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9B8EC4-6C3B-4A1D-9501-FF97D1BF8C3C}" keepAlive="1" name="Query - Table3" description="Connection to the 'Table3' query in the workbook." type="5" refreshedVersion="0" background="1">
    <dbPr connection="Provider=Microsoft.Mashup.OleDb.1;Data Source=$Workbook$;Location=Table3;Extended Properties=&quot;&quot;" command="SELECT * FROM [Table3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<sst xmlns="http://schemas.openxmlformats.org/spreadsheetml/2006/main" count="751" uniqueCount="171">
  <si>
    <t>Vehicle_ID</t>
  </si>
  <si>
    <t>Projects</t>
  </si>
  <si>
    <t>Driver_ID</t>
  </si>
  <si>
    <t>Vehicle_Type</t>
  </si>
  <si>
    <t>Origin</t>
  </si>
  <si>
    <t>Capacity_kg</t>
  </si>
  <si>
    <t>Destination</t>
  </si>
  <si>
    <t>Maintenance_Cost</t>
  </si>
  <si>
    <t>Distance_km</t>
  </si>
  <si>
    <t>V01</t>
  </si>
  <si>
    <t>Fuel_Consumed_L</t>
  </si>
  <si>
    <t>Van</t>
  </si>
  <si>
    <t>Delivery_Status</t>
  </si>
  <si>
    <t>V02</t>
  </si>
  <si>
    <t>Truck</t>
  </si>
  <si>
    <t>Delivery_Date</t>
  </si>
  <si>
    <t>V03</t>
  </si>
  <si>
    <t>V04</t>
  </si>
  <si>
    <t>D01</t>
  </si>
  <si>
    <t>Delhi</t>
  </si>
  <si>
    <t>Pune</t>
  </si>
  <si>
    <t>Mini-Truck</t>
  </si>
  <si>
    <t>On-Time</t>
  </si>
  <si>
    <t>V05</t>
  </si>
  <si>
    <t>V06</t>
  </si>
  <si>
    <t>Sales Performance Dashboard</t>
  </si>
  <si>
    <t>V07</t>
  </si>
  <si>
    <t>D08</t>
  </si>
  <si>
    <t>Mumbai</t>
  </si>
  <si>
    <t>Bangalore</t>
  </si>
  <si>
    <t>Analyzed monthly sales target vs. achievement data and created an interactive dashboard using Power BI. Implemented slicers and KPIs to track category-wise and region-wise performance.</t>
  </si>
  <si>
    <t>Tools Used: Power BI, Excel</t>
  </si>
  <si>
    <t>D09</t>
  </si>
  <si>
    <t>Hyderabad</t>
  </si>
  <si>
    <t>Logistics &amp; Fleet Efficiency Analysis</t>
  </si>
  <si>
    <t>D07</t>
  </si>
  <si>
    <t>Chennai</t>
  </si>
  <si>
    <t>Late</t>
  </si>
  <si>
    <t>Built a dashboard to analyze on-time deliveries, fuel efficiency, and cost per km using a logistics dataset. Created DAX measures like fuel efficiency and on-time delivery %.</t>
  </si>
  <si>
    <t>D03</t>
  </si>
  <si>
    <t>Kolkata</t>
  </si>
  <si>
    <t>Tools Used: Power BI, DAX, Excel</t>
  </si>
  <si>
    <t>D10</t>
  </si>
  <si>
    <t>Bike Buyers Data Analysis</t>
  </si>
  <si>
    <t>D02</t>
  </si>
  <si>
    <t>Cleaned and transformed raw dataset, performed demographic-based analysis (age, income, marital status) and visualized purchasing trends using Excel pivot tables and charts.</t>
  </si>
  <si>
    <t>Tools Used: Excel, Pivot Tables, Charts</t>
  </si>
  <si>
    <t>T013</t>
  </si>
  <si>
    <t>D04</t>
  </si>
  <si>
    <t>T014</t>
  </si>
  <si>
    <t>D05</t>
  </si>
  <si>
    <t>T015</t>
  </si>
  <si>
    <t>D06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</si>
  <si>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</si>
  <si>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</si>
  <si>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</si>
  <si>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</si>
  <si>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</si>
  <si>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</si>
  <si>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</si>
  <si>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</si>
  <si>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</si>
  <si>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</si>
  <si>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</si>
  <si>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</si>
  <si>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</si>
  <si>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</si>
  <si>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</si>
  <si>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</si>
  <si>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</si>
  <si>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</si>
  <si>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</si>
  <si>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</si>
  <si>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</si>
  <si>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</si>
  <si>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</si>
  <si>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</si>
  <si>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</si>
  <si>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</si>
  <si>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</si>
  <si>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</si>
  <si>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116+666</t>
  </si>
  <si>
    <t>T044</t>
  </si>
  <si>
    <t>T045</t>
  </si>
  <si>
    <t>T046</t>
  </si>
  <si>
    <t>T047</t>
  </si>
  <si>
    <t>T048</t>
  </si>
  <si>
    <t>T049</t>
  </si>
  <si>
    <t>T050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</si>
  <si>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</si>
  <si>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</si>
  <si>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</si>
  <si>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</si>
  <si>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</si>
  <si>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</si>
  <si>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</si>
  <si>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</si>
  <si>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</si>
  <si>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</si>
  <si>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</si>
  <si>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</si>
  <si>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Vehicle Type</t>
  </si>
  <si>
    <t>Fuel Efficiency</t>
  </si>
  <si>
    <t>Route</t>
  </si>
  <si>
    <t>Total Fuel Cost(Asuming that Cost Will Be 100 Per Ltr)</t>
  </si>
  <si>
    <t>Total Distance covered</t>
  </si>
  <si>
    <t>Total fuel consumed</t>
  </si>
  <si>
    <t>Assuming fuel cost as Rs.100/- ,Total fuel cost of the company</t>
  </si>
  <si>
    <t>Total number of On-Time trips</t>
  </si>
  <si>
    <t>Total number of Late trips</t>
  </si>
  <si>
    <t>Total number of distinct routes</t>
  </si>
  <si>
    <t>Total maintance cost of the 7 vehicles</t>
  </si>
  <si>
    <t>On-Time delivery % of company</t>
  </si>
  <si>
    <t>Total number of trips</t>
  </si>
  <si>
    <t>Logistics data analysis</t>
  </si>
  <si>
    <t>Total number of drivers</t>
  </si>
  <si>
    <t>Total fuel efficiency</t>
  </si>
  <si>
    <t>Row Labels</t>
  </si>
  <si>
    <t>Grand Total</t>
  </si>
  <si>
    <t>Count of Delivery_Status</t>
  </si>
  <si>
    <t>No.of total trips</t>
  </si>
  <si>
    <t xml:space="preserve"> DRIVERS</t>
  </si>
  <si>
    <t>No of On-Time trips</t>
  </si>
  <si>
    <t>% of on time trips</t>
  </si>
  <si>
    <t>(All)</t>
  </si>
  <si>
    <t>Chennai - Bangalore</t>
  </si>
  <si>
    <t>Delhi - Bangalore</t>
  </si>
  <si>
    <t>Delhi - Pune</t>
  </si>
  <si>
    <t>Hyderabad - Delhi</t>
  </si>
  <si>
    <t>Kolkata - Delhi</t>
  </si>
  <si>
    <t>Kolkata - Mumbai</t>
  </si>
  <si>
    <t>Bangalore - Chennai</t>
  </si>
  <si>
    <t>Bangalore - Hyderabad</t>
  </si>
  <si>
    <t>Mumbai - Bangalore</t>
  </si>
  <si>
    <t>Bangalore - Pune</t>
  </si>
  <si>
    <t>Chennai - Kolkata</t>
  </si>
  <si>
    <t>Hyderabad - Chennai</t>
  </si>
  <si>
    <t>Kolkata - Chennai</t>
  </si>
  <si>
    <t>Kolkata - Hyderabad</t>
  </si>
  <si>
    <t>Mumbai - Delhi</t>
  </si>
  <si>
    <t>Bangalore - Mumbai</t>
  </si>
  <si>
    <t>Chennai - Delhi</t>
  </si>
  <si>
    <t>Chennai - Pune</t>
  </si>
  <si>
    <t>Delhi - Kolkata</t>
  </si>
  <si>
    <t>Hyderabad - Bangalore</t>
  </si>
  <si>
    <t>Pune - Bangalore</t>
  </si>
  <si>
    <t>Chennai - Hyderabad</t>
  </si>
  <si>
    <t>Chennai - Mumbai</t>
  </si>
  <si>
    <t>Delhi - Hyderabad</t>
  </si>
  <si>
    <t>Delhi - Mumbai</t>
  </si>
  <si>
    <t>Pune - Kolkata</t>
  </si>
  <si>
    <t>Hyderabad - Kolkata</t>
  </si>
  <si>
    <t>Mumbai - Pune</t>
  </si>
  <si>
    <t>Pune - Mumbai</t>
  </si>
  <si>
    <t>Hyderabad - Pune</t>
  </si>
  <si>
    <t>Pune - Delhi</t>
  </si>
  <si>
    <t>Sum of Fuel_Consumed_L</t>
  </si>
  <si>
    <t>Sum of Fuel Efficiency</t>
  </si>
  <si>
    <t>Sum of Maintenance_Cost</t>
  </si>
  <si>
    <t>Jan</t>
  </si>
  <si>
    <t>Feb</t>
  </si>
  <si>
    <t>Count of Projects</t>
  </si>
  <si>
    <t>Works done in excel   for the project</t>
  </si>
  <si>
    <t>Both sheets combined together for easy and accurate analysis</t>
  </si>
  <si>
    <t>checked for dupicate values(Nill),data inconsistancy,Missing values</t>
  </si>
  <si>
    <t>Distance format in F44 is corrected and converted it to numbers</t>
  </si>
  <si>
    <t>All Data types are corrected to the right format</t>
  </si>
  <si>
    <t>Abnormalities in the trip ID colum is corrected and changed it to T001-T012</t>
  </si>
  <si>
    <t>New route column is defined to compare the fuel effieciency  and performance in each routes</t>
  </si>
  <si>
    <t>fuel efficiency ,Total fuel cost  are calculated</t>
  </si>
  <si>
    <t>Important measures like total ontime trips,no of late trips,total cost of fuel ,fuel efficiecy  are calculated to analyse the fleet performance and derive an insight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</si>
</sst>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\ hh:mm:ss"/>
    <numFmt numFmtId="165" formatCode="0.0%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9" tint="-0.499984740745262"/>
      <name val="Times New Roman"/>
      <family val="1"/>
    </font>
    <font>
      <b/>
      <sz val="11"/>
      <color theme="9" tint="-0.499984740745262"/>
      <name val="Times New Roman"/>
      <family val="1"/>
    </font>
    <font>
      <sz val="14"/>
      <color theme="1"/>
      <name val="Times New Roman"/>
      <family val="1"/>
    </font>
    <font>
      <sz val="18"/>
      <color theme="1"/>
      <name val="Times New Roman"/>
      <family val="1"/>
    </font>
    <font>
      <b/>
      <sz val="11"/>
      <color theme="0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9FF66"/>
        <bgColor indexed="64"/>
      </patternFill>
    </fill>
    <fill>
      <patternFill patternType="solid">
        <fgColor theme="4"/>
        <bgColor theme="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theme="4" tint="0.39997558519241921"/>
      </left>
      <right/>
      <top style="thin">
        <color rgb="FF000000"/>
      </top>
      <bottom/>
      <diagonal/>
    </border>
    <border>
      <left/>
      <right style="thin">
        <color theme="4" tint="0.39997558519241921"/>
      </right>
      <top style="thin">
        <color rgb="FF000000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99">
    <xf numFmtId="0" fontId="0" fillId="0" borderId="0" xfId="0"/>
    <xf numFmtId="0" fontId="4" fillId="0" borderId="0" xfId="0" applyFont="1"/>
    <xf numFmtId="0" fontId="3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3" borderId="3" xfId="0" applyFont="1" applyFill="1" applyBorder="1"/>
    <xf numFmtId="0" fontId="2" fillId="0" borderId="3" xfId="0" applyFont="1" applyBorder="1"/>
    <xf numFmtId="14" fontId="8" fillId="0" borderId="0" xfId="0" applyNumberFormat="1" applyFont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9" fontId="9" fillId="0" borderId="0" xfId="2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top"/>
    </xf>
    <xf numFmtId="0" fontId="2" fillId="0" borderId="0" xfId="0" applyFont="1"/>
    <xf numFmtId="164" fontId="6" fillId="0" borderId="0" xfId="0" applyNumberFormat="1" applyFont="1"/>
    <xf numFmtId="0" fontId="2" fillId="2" borderId="0" xfId="0" applyFont="1" applyFill="1"/>
    <xf numFmtId="164" fontId="6" fillId="2" borderId="0" xfId="0" applyNumberFormat="1" applyFont="1" applyFill="1"/>
    <xf numFmtId="0" fontId="8" fillId="0" borderId="4" xfId="0" applyFont="1" applyBorder="1" applyAlignment="1">
      <alignment horizontal="left"/>
    </xf>
    <xf numFmtId="2" fontId="8" fillId="0" borderId="4" xfId="0" applyNumberFormat="1" applyFont="1" applyBorder="1" applyAlignment="1">
      <alignment horizontal="left"/>
    </xf>
    <xf numFmtId="9" fontId="8" fillId="0" borderId="4" xfId="2" applyFont="1" applyBorder="1" applyAlignment="1">
      <alignment horizontal="left"/>
    </xf>
    <xf numFmtId="0" fontId="12" fillId="0" borderId="0" xfId="0" applyFont="1"/>
    <xf numFmtId="0" fontId="0" fillId="0" borderId="0" xfId="0" pivotButton="1"/>
    <xf numFmtId="0" fontId="12" fillId="0" borderId="4" xfId="0" applyFont="1" applyBorder="1" applyAlignment="1">
      <alignment horizontal="left"/>
    </xf>
    <xf numFmtId="0" fontId="13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left" vertical="top"/>
    </xf>
    <xf numFmtId="0" fontId="9" fillId="3" borderId="8" xfId="0" applyFont="1" applyFill="1" applyBorder="1"/>
    <xf numFmtId="0" fontId="9" fillId="3" borderId="7" xfId="0" applyFont="1" applyFill="1" applyBorder="1"/>
    <xf numFmtId="1" fontId="9" fillId="3" borderId="7" xfId="0" applyNumberFormat="1" applyFont="1" applyFill="1" applyBorder="1" applyAlignment="1">
      <alignment horizontal="center"/>
    </xf>
    <xf numFmtId="2" fontId="9" fillId="3" borderId="7" xfId="0" applyNumberFormat="1" applyFont="1" applyFill="1" applyBorder="1" applyAlignment="1">
      <alignment horizontal="center" vertical="center"/>
    </xf>
    <xf numFmtId="2" fontId="11" fillId="3" borderId="7" xfId="1" applyNumberFormat="1" applyFont="1" applyFill="1" applyBorder="1" applyAlignment="1">
      <alignment vertical="center"/>
    </xf>
    <xf numFmtId="2" fontId="11" fillId="3" borderId="7" xfId="1" applyNumberFormat="1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1" fontId="9" fillId="3" borderId="7" xfId="0" applyNumberFormat="1" applyFont="1" applyFill="1" applyBorder="1" applyAlignment="1">
      <alignment horizontal="center" vertical="center"/>
    </xf>
    <xf numFmtId="14" fontId="9" fillId="3" borderId="9" xfId="0" applyNumberFormat="1" applyFont="1" applyFill="1" applyBorder="1" applyAlignment="1">
      <alignment horizontal="center" vertical="center"/>
    </xf>
    <xf numFmtId="0" fontId="9" fillId="0" borderId="10" xfId="0" applyFont="1" applyBorder="1"/>
    <xf numFmtId="0" fontId="9" fillId="0" borderId="11" xfId="0" applyFont="1" applyBorder="1"/>
    <xf numFmtId="1" fontId="9" fillId="0" borderId="11" xfId="0" applyNumberFormat="1" applyFont="1" applyBorder="1" applyAlignment="1">
      <alignment horizontal="center"/>
    </xf>
    <xf numFmtId="2" fontId="9" fillId="0" borderId="11" xfId="0" applyNumberFormat="1" applyFont="1" applyBorder="1" applyAlignment="1">
      <alignment horizontal="center" vertical="center"/>
    </xf>
    <xf numFmtId="2" fontId="11" fillId="0" borderId="11" xfId="1" applyNumberFormat="1" applyFont="1" applyBorder="1" applyAlignment="1">
      <alignment vertical="center"/>
    </xf>
    <xf numFmtId="2" fontId="11" fillId="0" borderId="11" xfId="1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" fontId="9" fillId="0" borderId="11" xfId="0" applyNumberFormat="1" applyFont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/>
    </xf>
    <xf numFmtId="0" fontId="9" fillId="3" borderId="10" xfId="0" applyFont="1" applyFill="1" applyBorder="1"/>
    <xf numFmtId="0" fontId="9" fillId="3" borderId="11" xfId="0" applyFont="1" applyFill="1" applyBorder="1"/>
    <xf numFmtId="1" fontId="9" fillId="3" borderId="11" xfId="0" applyNumberFormat="1" applyFont="1" applyFill="1" applyBorder="1" applyAlignment="1">
      <alignment horizontal="center"/>
    </xf>
    <xf numFmtId="2" fontId="9" fillId="3" borderId="11" xfId="0" applyNumberFormat="1" applyFont="1" applyFill="1" applyBorder="1" applyAlignment="1">
      <alignment horizontal="center" vertical="center"/>
    </xf>
    <xf numFmtId="2" fontId="11" fillId="3" borderId="11" xfId="1" applyNumberFormat="1" applyFont="1" applyFill="1" applyBorder="1" applyAlignment="1">
      <alignment vertical="center"/>
    </xf>
    <xf numFmtId="2" fontId="11" fillId="3" borderId="11" xfId="1" applyNumberFormat="1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1" fontId="9" fillId="3" borderId="11" xfId="0" applyNumberFormat="1" applyFont="1" applyFill="1" applyBorder="1" applyAlignment="1">
      <alignment horizontal="center" vertical="center"/>
    </xf>
    <xf numFmtId="14" fontId="9" fillId="3" borderId="12" xfId="0" applyNumberFormat="1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 wrapText="1"/>
    </xf>
    <xf numFmtId="2" fontId="14" fillId="5" borderId="13" xfId="0" applyNumberFormat="1" applyFont="1" applyFill="1" applyBorder="1" applyAlignment="1">
      <alignment horizontal="center" vertical="center" wrapText="1"/>
    </xf>
    <xf numFmtId="2" fontId="11" fillId="5" borderId="13" xfId="0" applyNumberFormat="1" applyFont="1" applyFill="1" applyBorder="1" applyAlignment="1">
      <alignment horizontal="center" vertical="center" wrapText="1"/>
    </xf>
    <xf numFmtId="1" fontId="14" fillId="5" borderId="13" xfId="0" applyNumberFormat="1" applyFont="1" applyFill="1" applyBorder="1" applyAlignment="1">
      <alignment horizontal="center" vertical="center" wrapText="1"/>
    </xf>
    <xf numFmtId="14" fontId="14" fillId="5" borderId="14" xfId="0" applyNumberFormat="1" applyFont="1" applyFill="1" applyBorder="1" applyAlignment="1">
      <alignment horizontal="center" vertical="center" wrapText="1"/>
    </xf>
    <xf numFmtId="0" fontId="8" fillId="0" borderId="15" xfId="0" applyFont="1" applyBorder="1"/>
    <xf numFmtId="0" fontId="8" fillId="0" borderId="16" xfId="0" applyFont="1" applyBorder="1"/>
    <xf numFmtId="1" fontId="8" fillId="0" borderId="16" xfId="0" applyNumberFormat="1" applyFont="1" applyBorder="1" applyAlignment="1">
      <alignment horizontal="center"/>
    </xf>
    <xf numFmtId="2" fontId="8" fillId="0" borderId="16" xfId="0" applyNumberFormat="1" applyFont="1" applyBorder="1" applyAlignment="1">
      <alignment horizontal="center" vertical="center"/>
    </xf>
    <xf numFmtId="2" fontId="11" fillId="0" borderId="16" xfId="1" applyNumberFormat="1" applyFont="1" applyBorder="1" applyAlignment="1">
      <alignment vertical="center"/>
    </xf>
    <xf numFmtId="2" fontId="11" fillId="0" borderId="16" xfId="1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1" fontId="8" fillId="0" borderId="16" xfId="0" applyNumberFormat="1" applyFont="1" applyBorder="1" applyAlignment="1">
      <alignment horizontal="center" vertical="center"/>
    </xf>
    <xf numFmtId="14" fontId="8" fillId="0" borderId="17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5" fillId="4" borderId="18" xfId="0" applyFont="1" applyFill="1" applyBorder="1" applyAlignment="1">
      <alignment horizontal="center" vertical="center" wrapText="1"/>
    </xf>
    <xf numFmtId="0" fontId="15" fillId="4" borderId="19" xfId="0" applyFont="1" applyFill="1" applyBorder="1" applyAlignment="1">
      <alignment horizontal="center" vertical="center" wrapText="1"/>
    </xf>
    <xf numFmtId="0" fontId="15" fillId="4" borderId="20" xfId="0" applyFont="1" applyFill="1" applyBorder="1" applyAlignment="1">
      <alignment horizontal="center" vertical="center" wrapText="1"/>
    </xf>
    <xf numFmtId="0" fontId="15" fillId="4" borderId="21" xfId="0" applyFont="1" applyFill="1" applyBorder="1" applyAlignment="1">
      <alignment horizontal="center" vertical="center" wrapText="1"/>
    </xf>
    <xf numFmtId="0" fontId="15" fillId="4" borderId="22" xfId="0" applyFont="1" applyFill="1" applyBorder="1" applyAlignment="1">
      <alignment horizontal="center" vertical="center" wrapText="1"/>
    </xf>
    <xf numFmtId="0" fontId="15" fillId="4" borderId="23" xfId="0" applyFont="1" applyFill="1" applyBorder="1" applyAlignment="1">
      <alignment horizontal="center" vertical="center" wrapText="1"/>
    </xf>
    <xf numFmtId="165" fontId="9" fillId="0" borderId="4" xfId="2" applyNumberFormat="1" applyFont="1" applyBorder="1"/>
    <xf numFmtId="1" fontId="9" fillId="0" borderId="4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0" fillId="0" borderId="0" xfId="0" applyNumberFormat="1"/>
    <xf numFmtId="2" fontId="0" fillId="0" borderId="0" xfId="0" applyNumberFormat="1"/>
    <xf numFmtId="1" fontId="0" fillId="0" borderId="0" xfId="0" applyNumberFormat="1"/>
    <xf numFmtId="2" fontId="8" fillId="0" borderId="4" xfId="0" applyNumberFormat="1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12" fillId="0" borderId="4" xfId="0" applyFont="1" applyBorder="1"/>
    <xf numFmtId="0" fontId="0" fillId="0" borderId="4" xfId="0" applyBorder="1"/>
    <xf numFmtId="0" fontId="1" fillId="0" borderId="4" xfId="0" applyFont="1" applyBorder="1"/>
    <xf numFmtId="0" fontId="16" fillId="4" borderId="4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d/mm/yy"/>
      <alignment horizontal="center" vertical="center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Times New Roman"/>
        <family val="1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Times New Roman"/>
        <family val="1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border outline="0">
        <top style="thin">
          <color rgb="FF000000"/>
        </top>
        <bottom style="double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colors>
    <mruColors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[codethon.xlsx]pivot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Driver performance on on time 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analysis'!$A$4:$A$14</c:f>
              <c:strCache>
                <c:ptCount val="10"/>
                <c:pt idx="0">
                  <c:v>D01</c:v>
                </c:pt>
                <c:pt idx="1">
                  <c:v>D02</c:v>
                </c:pt>
                <c:pt idx="2">
                  <c:v>D03</c:v>
                </c:pt>
                <c:pt idx="3">
                  <c:v>D04</c:v>
                </c:pt>
                <c:pt idx="4">
                  <c:v>D05</c:v>
                </c:pt>
                <c:pt idx="5">
                  <c:v>D06</c:v>
                </c:pt>
                <c:pt idx="6">
                  <c:v>D07</c:v>
                </c:pt>
                <c:pt idx="7">
                  <c:v>D08</c:v>
                </c:pt>
                <c:pt idx="8">
                  <c:v>D09</c:v>
                </c:pt>
                <c:pt idx="9">
                  <c:v>D10</c:v>
                </c:pt>
              </c:strCache>
            </c:strRef>
          </c:cat>
          <c:val>
            <c:numRef>
              <c:f>'pivot analysis'!$B$4:$B$14</c:f>
              <c:numCache>
                <c:formatCode>General</c:formatCode>
                <c:ptCount val="10"/>
                <c:pt idx="0">
                  <c:v>4</c:v>
                </c:pt>
                <c:pt idx="1">
                  <c:v>1</c:v>
                </c:pt>
                <c:pt idx="2">
                  <c:v>6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D5-4D69-8569-AB5FDD7F4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4365183"/>
        <c:axId val="1336053199"/>
      </c:barChart>
      <c:catAx>
        <c:axId val="1534365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053199"/>
        <c:crosses val="autoZero"/>
        <c:auto val="1"/>
        <c:lblAlgn val="ctr"/>
        <c:lblOffset val="100"/>
        <c:noMultiLvlLbl val="0"/>
      </c:catAx>
      <c:valAx>
        <c:axId val="133605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365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[codethon.xlsx]pivot analysis!PivotTable2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Routes vs fuel consumption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analysis'!$A$23:$A$54</c:f>
              <c:strCache>
                <c:ptCount val="31"/>
                <c:pt idx="0">
                  <c:v>Bangalore - Chennai</c:v>
                </c:pt>
                <c:pt idx="1">
                  <c:v>Bangalore - Hyderabad</c:v>
                </c:pt>
                <c:pt idx="2">
                  <c:v>Bangalore - Mumbai</c:v>
                </c:pt>
                <c:pt idx="3">
                  <c:v>Bangalore - Pune</c:v>
                </c:pt>
                <c:pt idx="4">
                  <c:v>Chennai - Bangalore</c:v>
                </c:pt>
                <c:pt idx="5">
                  <c:v>Chennai - Delhi</c:v>
                </c:pt>
                <c:pt idx="6">
                  <c:v>Chennai - Hyderabad</c:v>
                </c:pt>
                <c:pt idx="7">
                  <c:v>Chennai - Kolkata</c:v>
                </c:pt>
                <c:pt idx="8">
                  <c:v>Chennai - Mumbai</c:v>
                </c:pt>
                <c:pt idx="9">
                  <c:v>Chennai - Pune</c:v>
                </c:pt>
                <c:pt idx="10">
                  <c:v>Delhi - Bangalore</c:v>
                </c:pt>
                <c:pt idx="11">
                  <c:v>Delhi - Hyderabad</c:v>
                </c:pt>
                <c:pt idx="12">
                  <c:v>Delhi - Kolkata</c:v>
                </c:pt>
                <c:pt idx="13">
                  <c:v>Delhi - Mumbai</c:v>
                </c:pt>
                <c:pt idx="14">
                  <c:v>Delhi - Pune</c:v>
                </c:pt>
                <c:pt idx="15">
                  <c:v>Hyderabad - Bangalore</c:v>
                </c:pt>
                <c:pt idx="16">
                  <c:v>Hyderabad - Chennai</c:v>
                </c:pt>
                <c:pt idx="17">
                  <c:v>Hyderabad - Delhi</c:v>
                </c:pt>
                <c:pt idx="18">
                  <c:v>Hyderabad - Kolkata</c:v>
                </c:pt>
                <c:pt idx="19">
                  <c:v>Hyderabad - Pune</c:v>
                </c:pt>
                <c:pt idx="20">
                  <c:v>Kolkata - Chennai</c:v>
                </c:pt>
                <c:pt idx="21">
                  <c:v>Kolkata - Delhi</c:v>
                </c:pt>
                <c:pt idx="22">
                  <c:v>Kolkata - Hyderabad</c:v>
                </c:pt>
                <c:pt idx="23">
                  <c:v>Kolkata - Mumbai</c:v>
                </c:pt>
                <c:pt idx="24">
                  <c:v>Mumbai - Bangalore</c:v>
                </c:pt>
                <c:pt idx="25">
                  <c:v>Mumbai - Delhi</c:v>
                </c:pt>
                <c:pt idx="26">
                  <c:v>Mumbai - Pune</c:v>
                </c:pt>
                <c:pt idx="27">
                  <c:v>Pune - Bangalore</c:v>
                </c:pt>
                <c:pt idx="28">
                  <c:v>Pune - Delhi</c:v>
                </c:pt>
                <c:pt idx="29">
                  <c:v>Pune - Kolkata</c:v>
                </c:pt>
                <c:pt idx="30">
                  <c:v>Pune - Mumbai</c:v>
                </c:pt>
              </c:strCache>
            </c:strRef>
          </c:cat>
          <c:val>
            <c:numRef>
              <c:f>'pivot analysis'!$B$23:$B$54</c:f>
              <c:numCache>
                <c:formatCode>0.00</c:formatCode>
                <c:ptCount val="31"/>
                <c:pt idx="0">
                  <c:v>120.65</c:v>
                </c:pt>
                <c:pt idx="1">
                  <c:v>105.21</c:v>
                </c:pt>
                <c:pt idx="2">
                  <c:v>363.07</c:v>
                </c:pt>
                <c:pt idx="3">
                  <c:v>37.39</c:v>
                </c:pt>
                <c:pt idx="4">
                  <c:v>140.79</c:v>
                </c:pt>
                <c:pt idx="5">
                  <c:v>197.55</c:v>
                </c:pt>
                <c:pt idx="6">
                  <c:v>100.52</c:v>
                </c:pt>
                <c:pt idx="7">
                  <c:v>58.08</c:v>
                </c:pt>
                <c:pt idx="8">
                  <c:v>85.04</c:v>
                </c:pt>
                <c:pt idx="9">
                  <c:v>131.01</c:v>
                </c:pt>
                <c:pt idx="10">
                  <c:v>70.400000000000006</c:v>
                </c:pt>
                <c:pt idx="11">
                  <c:v>110.46</c:v>
                </c:pt>
                <c:pt idx="12">
                  <c:v>121.36</c:v>
                </c:pt>
                <c:pt idx="13">
                  <c:v>119.57000000000001</c:v>
                </c:pt>
                <c:pt idx="14">
                  <c:v>151.29</c:v>
                </c:pt>
                <c:pt idx="15">
                  <c:v>113.22</c:v>
                </c:pt>
                <c:pt idx="16">
                  <c:v>126.17</c:v>
                </c:pt>
                <c:pt idx="17">
                  <c:v>170.84</c:v>
                </c:pt>
                <c:pt idx="18">
                  <c:v>106.83</c:v>
                </c:pt>
                <c:pt idx="19">
                  <c:v>182.12</c:v>
                </c:pt>
                <c:pt idx="20">
                  <c:v>399.86</c:v>
                </c:pt>
                <c:pt idx="21">
                  <c:v>51.77</c:v>
                </c:pt>
                <c:pt idx="22">
                  <c:v>60</c:v>
                </c:pt>
                <c:pt idx="23">
                  <c:v>276.51</c:v>
                </c:pt>
                <c:pt idx="24">
                  <c:v>410.92000000000007</c:v>
                </c:pt>
                <c:pt idx="25">
                  <c:v>153.35</c:v>
                </c:pt>
                <c:pt idx="26">
                  <c:v>154.69999999999999</c:v>
                </c:pt>
                <c:pt idx="27">
                  <c:v>151.18</c:v>
                </c:pt>
                <c:pt idx="28">
                  <c:v>107.23</c:v>
                </c:pt>
                <c:pt idx="29">
                  <c:v>219.51</c:v>
                </c:pt>
                <c:pt idx="30">
                  <c:v>33.200000000000003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D5-49A4-9348-5161BA848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5731839"/>
        <c:axId val="1770995663"/>
      </c:barChart>
      <c:catAx>
        <c:axId val="1895731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995663"/>
        <c:crosses val="autoZero"/>
        <c:auto val="1"/>
        <c:lblAlgn val="ctr"/>
        <c:lblOffset val="100"/>
        <c:noMultiLvlLbl val="0"/>
      </c:catAx>
      <c:valAx>
        <c:axId val="177099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731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[codethon.xlsx]pivot analysis!PivotTable3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Vehicle fuel efficiency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analysis'!$B$59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analysis'!$A$60:$A$67</c:f>
              <c:strCache>
                <c:ptCount val="7"/>
                <c:pt idx="0">
                  <c:v>V01</c:v>
                </c:pt>
                <c:pt idx="1">
                  <c:v>V02</c:v>
                </c:pt>
                <c:pt idx="2">
                  <c:v>V03</c:v>
                </c:pt>
                <c:pt idx="3">
                  <c:v>V04</c:v>
                </c:pt>
                <c:pt idx="4">
                  <c:v>V05</c:v>
                </c:pt>
                <c:pt idx="5">
                  <c:v>V06</c:v>
                </c:pt>
                <c:pt idx="6">
                  <c:v>V07</c:v>
                </c:pt>
              </c:strCache>
            </c:strRef>
          </c:cat>
          <c:val>
            <c:numRef>
              <c:f>'pivot analysis'!$B$60:$B$67</c:f>
              <c:numCache>
                <c:formatCode>0.00</c:formatCode>
                <c:ptCount val="7"/>
                <c:pt idx="0">
                  <c:v>32.799054348296977</c:v>
                </c:pt>
                <c:pt idx="1">
                  <c:v>78.132900693037101</c:v>
                </c:pt>
                <c:pt idx="2">
                  <c:v>24.119439573842254</c:v>
                </c:pt>
                <c:pt idx="3">
                  <c:v>115.09408402589992</c:v>
                </c:pt>
                <c:pt idx="4">
                  <c:v>116.82542342047677</c:v>
                </c:pt>
                <c:pt idx="5">
                  <c:v>216.09172972418634</c:v>
                </c:pt>
                <c:pt idx="6">
                  <c:v>91.76442439714711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12-4341-9A2E-6A0D132FF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5739727"/>
        <c:axId val="1770939503"/>
      </c:barChart>
      <c:catAx>
        <c:axId val="1895739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939503"/>
        <c:crosses val="autoZero"/>
        <c:auto val="1"/>
        <c:lblAlgn val="ctr"/>
        <c:lblOffset val="100"/>
        <c:noMultiLvlLbl val="0"/>
      </c:catAx>
      <c:valAx>
        <c:axId val="177093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739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[codethon.xlsx]pivot analysis!PivotTable4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maintanance cost for vehicles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analysis'!$B$73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analysis'!$A$74:$A$81</c:f>
              <c:strCache>
                <c:ptCount val="7"/>
                <c:pt idx="0">
                  <c:v>V01</c:v>
                </c:pt>
                <c:pt idx="1">
                  <c:v>V02</c:v>
                </c:pt>
                <c:pt idx="2">
                  <c:v>V03</c:v>
                </c:pt>
                <c:pt idx="3">
                  <c:v>V04</c:v>
                </c:pt>
                <c:pt idx="4">
                  <c:v>V05</c:v>
                </c:pt>
                <c:pt idx="5">
                  <c:v>V06</c:v>
                </c:pt>
                <c:pt idx="6">
                  <c:v>V07</c:v>
                </c:pt>
              </c:strCache>
            </c:strRef>
          </c:cat>
          <c:val>
            <c:numRef>
              <c:f>'pivot analysis'!$B$74:$B$81</c:f>
              <c:numCache>
                <c:formatCode>0</c:formatCode>
                <c:ptCount val="7"/>
                <c:pt idx="0">
                  <c:v>16899</c:v>
                </c:pt>
                <c:pt idx="1">
                  <c:v>47432</c:v>
                </c:pt>
                <c:pt idx="2">
                  <c:v>36062</c:v>
                </c:pt>
                <c:pt idx="3">
                  <c:v>81297</c:v>
                </c:pt>
                <c:pt idx="4">
                  <c:v>177510</c:v>
                </c:pt>
                <c:pt idx="5">
                  <c:v>70968</c:v>
                </c:pt>
                <c:pt idx="6">
                  <c:v>89859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8C-48FD-945B-158C70A2B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5678815"/>
        <c:axId val="1770888623"/>
      </c:lineChart>
      <c:catAx>
        <c:axId val="1885678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888623"/>
        <c:crosses val="autoZero"/>
        <c:auto val="1"/>
        <c:lblAlgn val="ctr"/>
        <c:lblOffset val="100"/>
        <c:noMultiLvlLbl val="0"/>
      </c:catAx>
      <c:valAx>
        <c:axId val="177088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678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[codethon.xlsx]pivot analysis!PivotTable5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analysis'!$B$88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analysis'!$A$89:$A$91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'pivot analysis'!$B$89:$B$91</c:f>
              <c:numCache>
                <c:formatCode>General</c:formatCode>
                <c:ptCount val="2"/>
                <c:pt idx="0">
                  <c:v>21</c:v>
                </c:pt>
                <c:pt idx="1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FA-42BE-9480-500D7ACE2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0947583"/>
        <c:axId val="1770942383"/>
      </c:lineChart>
      <c:catAx>
        <c:axId val="179094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942383"/>
        <c:crosses val="autoZero"/>
        <c:auto val="1"/>
        <c:lblAlgn val="ctr"/>
        <c:lblOffset val="100"/>
        <c:noMultiLvlLbl val="0"/>
      </c:catAx>
      <c:valAx>
        <c:axId val="1770942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947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247649</xdr:colOff>
      <xdr:row>0</xdr:row>
      <xdr:rowOff>109537</xdr:rowOff>
    </xdr:from>
    <xdr:to>
      <xdr:col>9</xdr:col>
      <xdr:colOff>581024</xdr:colOff>
      <xdr:row>14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DC65FD-B2F2-6E5C-8D24-2354D0E864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438150</xdr:colOff>
      <xdr:row>21</xdr:row>
      <xdr:rowOff>1</xdr:rowOff>
    </xdr:from>
    <xdr:to>
      <xdr:col>11</xdr:col>
      <xdr:colOff>304800</xdr:colOff>
      <xdr:row>53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124607-3324-1B74-F6E6-5DBD409162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752475</xdr:colOff>
      <xdr:row>56</xdr:row>
      <xdr:rowOff>138112</xdr:rowOff>
    </xdr:from>
    <xdr:to>
      <xdr:col>9</xdr:col>
      <xdr:colOff>142875</xdr:colOff>
      <xdr:row>68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EB8A666-E6C9-1394-F3CC-25D3913553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866775</xdr:colOff>
      <xdr:row>70</xdr:row>
      <xdr:rowOff>176212</xdr:rowOff>
    </xdr:from>
    <xdr:to>
      <xdr:col>9</xdr:col>
      <xdr:colOff>0</xdr:colOff>
      <xdr:row>85</xdr:row>
      <xdr:rowOff>61912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5E17B4A-5FA4-4B28-0F36-6E054645C2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514350</xdr:colOff>
      <xdr:row>85</xdr:row>
      <xdr:rowOff>166686</xdr:rowOff>
    </xdr:from>
    <xdr:to>
      <xdr:col>9</xdr:col>
      <xdr:colOff>523875</xdr:colOff>
      <xdr:row>96</xdr:row>
      <xdr:rowOff>57149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4A505D5-1F34-2C28-7CC2-A5257546D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44.339191435189" createdVersion="8" refreshedVersion="8" minRefreshableVersion="3" recordCount="50" xr:uid="{F1955211-999E-4CA5-8E7B-7E60417F58E8}">
  <cacheSource type="worksheet">
    <worksheetSource ref="A1:O51" sheet="Trip_Data_worksheet"/>
  </cacheSource>
  <cacheFields count="17">
    <cacheField name="Projects" numFmtId="0">
      <sharedItems/>
    </cacheField>
    <cacheField name="Vehicle_ID" numFmtId="0">
      <sharedItems count="7">
        <s v="V04"/>
        <s v="V06"/>
        <s v="V07"/>
        <s v="V02"/>
        <s v="V05"/>
        <s v="V01"/>
        <s v="V03"/>
      </sharedItems>
    </cacheField>
    <cacheField name="Driver_ID" numFmtId="0">
      <sharedItems count="10">
        <s v="D01"/>
        <s v="D08"/>
        <s v="D09"/>
        <s v="D07"/>
        <s v="D03"/>
        <s v="D10"/>
        <s v="D02"/>
        <s v="D04"/>
        <s v="D05"/>
        <s v="D06"/>
      </sharedItems>
    </cacheField>
    <cacheField name="Origin" numFmtId="0">
      <sharedItems/>
    </cacheField>
    <cacheField name="Destination" numFmtId="0">
      <sharedItems/>
    </cacheField>
    <cacheField name="Route" numFmtId="0">
      <sharedItems count="31">
        <s v="Delhi - Pune"/>
        <s v="Mumbai - Bangalore"/>
        <s v="Mumbai - Pune"/>
        <s v="Hyderabad - Pune"/>
        <s v="Pune - Mumbai"/>
        <s v="Chennai - Mumbai"/>
        <s v="Chennai - Kolkata"/>
        <s v="Delhi - Hyderabad"/>
        <s v="Bangalore - Hyderabad"/>
        <s v="Kolkata - Hyderabad"/>
        <s v="Kolkata - Delhi"/>
        <s v="Kolkata - Chennai"/>
        <s v="Hyderabad - Bangalore"/>
        <s v="Kolkata - Mumbai"/>
        <s v="Bangalore - Mumbai"/>
        <s v="Pune - Kolkata"/>
        <s v="Pune - Delhi"/>
        <s v="Delhi - Mumbai"/>
        <s v="Hyderabad - Delhi"/>
        <s v="Chennai - Delhi"/>
        <s v="Bangalore - Chennai"/>
        <s v="Chennai - Pune"/>
        <s v="Pune - Bangalore"/>
        <s v="Hyderabad - Kolkata"/>
        <s v="Hyderabad - Chennai"/>
        <s v="Delhi - Kolkata"/>
        <s v="Delhi - Bangalore"/>
        <s v="Bangalore - Pune"/>
        <s v="Chennai - Hyderabad"/>
        <s v="Chennai - Bangalore"/>
        <s v="Mumbai - Delhi"/>
      </sharedItems>
    </cacheField>
    <cacheField name="Distance_km" numFmtId="1">
      <sharedItems containsSemiMixedTypes="0" containsString="0" containsNumber="1" containsInteger="1" minValue="64" maxValue="1956"/>
    </cacheField>
    <cacheField name="Fuel_Consumed_L" numFmtId="2">
      <sharedItems containsSemiMixedTypes="0" containsString="0" containsNumber="1" minValue="4.96" maxValue="211.34"/>
    </cacheField>
    <cacheField name="Fuel Efficiency" numFmtId="2">
      <sharedItems containsSemiMixedTypes="0" containsString="0" containsNumber="1" minValue="8.0404303880013046" maxValue="89.781859931113658"/>
    </cacheField>
    <cacheField name="Total Fuel Cost(Asuming that Cost Will Be 100 Per Ltr)" numFmtId="2">
      <sharedItems containsSemiMixedTypes="0" containsString="0" containsNumber="1" minValue="496" maxValue="21134"/>
    </cacheField>
    <cacheField name="Delivery_Status" numFmtId="0">
      <sharedItems count="2">
        <s v="On-Time"/>
        <s v="Late"/>
      </sharedItems>
    </cacheField>
    <cacheField name="Vehicle Type" numFmtId="0">
      <sharedItems/>
    </cacheField>
    <cacheField name="Capacity_kg" numFmtId="1">
      <sharedItems containsSemiMixedTypes="0" containsString="0" containsNumber="1" containsInteger="1" minValue="1207" maxValue="9941"/>
    </cacheField>
    <cacheField name="Maintenance_Cost" numFmtId="1">
      <sharedItems containsSemiMixedTypes="0" containsString="0" containsNumber="1" containsInteger="1" minValue="5633" maxValue="18031"/>
    </cacheField>
    <cacheField name="Delivery_Date" numFmtId="14">
      <sharedItems containsSemiMixedTypes="0" containsNonDate="0" containsDate="1" containsString="0" minDate="2023-01-01T00:00:00" maxDate="2023-03-01T00:00:00" count="34">
        <d v="2023-01-27T00:00:00"/>
        <d v="2023-02-21T00:00:00"/>
        <d v="2023-02-17T00:00:00"/>
        <d v="2023-02-18T00:00:00"/>
        <d v="2023-02-15T00:00:00"/>
        <d v="2023-02-25T00:00:00"/>
        <d v="2023-01-19T00:00:00"/>
        <d v="2023-01-01T00:00:00"/>
        <d v="2023-02-23T00:00:00"/>
        <d v="2023-02-02T00:00:00"/>
        <d v="2023-01-21T00:00:00"/>
        <d v="2023-02-16T00:00:00"/>
        <d v="2023-01-18T00:00:00"/>
        <d v="2023-01-16T00:00:00"/>
        <d v="2023-02-12T00:00:00"/>
        <d v="2023-02-28T00:00:00"/>
        <d v="2023-01-06T00:00:00"/>
        <d v="2023-01-11T00:00:00"/>
        <d v="2023-02-07T00:00:00"/>
        <d v="2023-02-06T00:00:00"/>
        <d v="2023-02-14T00:00:00"/>
        <d v="2023-01-17T00:00:00"/>
        <d v="2023-02-20T00:00:00"/>
        <d v="2023-01-28T00:00:00"/>
        <d v="2023-02-03T00:00:00"/>
        <d v="2023-02-05T00:00:00"/>
        <d v="2023-01-24T00:00:00"/>
        <d v="2023-02-10T00:00:00"/>
        <d v="2023-02-24T00:00:00"/>
        <d v="2023-01-12T00:00:00"/>
        <d v="2023-01-26T00:00:00"/>
        <d v="2023-01-29T00:00:00"/>
        <d v="2023-02-13T00:00:00"/>
        <d v="2023-01-22T00:00:00"/>
      </sharedItems>
      <fieldGroup par="16"/>
    </cacheField>
    <cacheField name="Days (Delivery_Date)" numFmtId="0" databaseField="0">
      <fieldGroup base="14">
        <rangePr groupBy="days" startDate="2023-01-01T00:00:00" endDate="2023-03-01T00:00:00"/>
        <groupItems count="368">
          <s v="&lt;01-01-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3-23"/>
        </groupItems>
      </fieldGroup>
    </cacheField>
    <cacheField name="Months (Delivery_Date)" numFmtId="0" databaseField="0">
      <fieldGroup base="14">
        <rangePr groupBy="months" startDate="2023-01-01T00:00:00" endDate="2023-03-01T00:00:00"/>
        <groupItems count="14">
          <s v="&lt;01-01-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3-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T001"/>
    <x v="0"/>
    <x v="0"/>
    <s v="Delhi"/>
    <s v="Pune"/>
    <x v="0"/>
    <n v="1173"/>
    <n v="108.42"/>
    <n v="10.819037078029883"/>
    <n v="10842"/>
    <x v="0"/>
    <s v="Mini-Truck"/>
    <n v="8803"/>
    <n v="9033"/>
    <x v="0"/>
  </r>
  <r>
    <s v="T002"/>
    <x v="1"/>
    <x v="1"/>
    <s v="Mumbai"/>
    <s v="Bangalore"/>
    <x v="1"/>
    <n v="1727"/>
    <n v="161.33000000000001"/>
    <n v="10.704766627409656"/>
    <n v="16133.000000000002"/>
    <x v="0"/>
    <s v="Van"/>
    <n v="6053"/>
    <n v="5914"/>
    <x v="1"/>
  </r>
  <r>
    <s v="T003"/>
    <x v="1"/>
    <x v="1"/>
    <s v="Mumbai"/>
    <s v="Pune"/>
    <x v="2"/>
    <n v="1459"/>
    <n v="154.69999999999999"/>
    <n v="9.431157078215902"/>
    <n v="15469.999999999998"/>
    <x v="0"/>
    <s v="Van"/>
    <n v="6053"/>
    <n v="5914"/>
    <x v="2"/>
  </r>
  <r>
    <s v="T004"/>
    <x v="0"/>
    <x v="2"/>
    <s v="Hyderabad"/>
    <s v="Pune"/>
    <x v="3"/>
    <n v="382"/>
    <n v="26.6"/>
    <n v="14.360902255639097"/>
    <n v="2660"/>
    <x v="0"/>
    <s v="Mini-Truck"/>
    <n v="8803"/>
    <n v="9033"/>
    <x v="3"/>
  </r>
  <r>
    <s v="T005"/>
    <x v="1"/>
    <x v="1"/>
    <s v="Pune"/>
    <s v="Mumbai"/>
    <x v="4"/>
    <n v="398"/>
    <n v="33.200000000000003"/>
    <n v="11.987951807228916"/>
    <n v="3320.0000000000005"/>
    <x v="0"/>
    <s v="Van"/>
    <n v="6053"/>
    <n v="5914"/>
    <x v="4"/>
  </r>
  <r>
    <s v="T006"/>
    <x v="1"/>
    <x v="3"/>
    <s v="Chennai"/>
    <s v="Mumbai"/>
    <x v="5"/>
    <n v="1275"/>
    <n v="85.04"/>
    <n v="14.99294449670743"/>
    <n v="8504"/>
    <x v="1"/>
    <s v="Van"/>
    <n v="6053"/>
    <n v="5914"/>
    <x v="5"/>
  </r>
  <r>
    <s v="T007"/>
    <x v="2"/>
    <x v="4"/>
    <s v="Chennai"/>
    <s v="Kolkata"/>
    <x v="6"/>
    <n v="752"/>
    <n v="58.08"/>
    <n v="12.947658402203857"/>
    <n v="5808"/>
    <x v="0"/>
    <s v="Van"/>
    <n v="2598"/>
    <n v="12837"/>
    <x v="6"/>
  </r>
  <r>
    <s v="T008"/>
    <x v="3"/>
    <x v="5"/>
    <s v="Delhi"/>
    <s v="Pune"/>
    <x v="0"/>
    <n v="74"/>
    <n v="5.24"/>
    <n v="14.122137404580153"/>
    <n v="524"/>
    <x v="0"/>
    <s v="Truck"/>
    <n v="1970"/>
    <n v="6776"/>
    <x v="7"/>
  </r>
  <r>
    <s v="T009"/>
    <x v="3"/>
    <x v="3"/>
    <s v="Delhi"/>
    <s v="Hyderabad"/>
    <x v="7"/>
    <n v="186"/>
    <n v="16.22"/>
    <n v="11.467324290998768"/>
    <n v="1622"/>
    <x v="0"/>
    <s v="Truck"/>
    <n v="1970"/>
    <n v="6776"/>
    <x v="8"/>
  </r>
  <r>
    <s v="T010"/>
    <x v="3"/>
    <x v="6"/>
    <s v="Bangalore"/>
    <s v="Hyderabad"/>
    <x v="8"/>
    <n v="1375"/>
    <n v="105.21"/>
    <n v="13.069099895447202"/>
    <n v="10521"/>
    <x v="1"/>
    <s v="Truck"/>
    <n v="1970"/>
    <n v="6776"/>
    <x v="9"/>
  </r>
  <r>
    <s v="T011"/>
    <x v="1"/>
    <x v="4"/>
    <s v="Kolkata"/>
    <s v="Hyderabad"/>
    <x v="9"/>
    <n v="419"/>
    <n v="31.17"/>
    <n v="13.442412576195059"/>
    <n v="3117"/>
    <x v="0"/>
    <s v="Van"/>
    <n v="6053"/>
    <n v="5914"/>
    <x v="10"/>
  </r>
  <r>
    <s v="T012"/>
    <x v="1"/>
    <x v="0"/>
    <s v="Kolkata"/>
    <s v="Delhi"/>
    <x v="10"/>
    <n v="751"/>
    <n v="51.77"/>
    <n v="14.506470929109522"/>
    <n v="5177"/>
    <x v="0"/>
    <s v="Van"/>
    <n v="6053"/>
    <n v="5914"/>
    <x v="4"/>
  </r>
  <r>
    <s v="T013"/>
    <x v="4"/>
    <x v="7"/>
    <s v="Kolkata"/>
    <s v="Chennai"/>
    <x v="11"/>
    <n v="1571"/>
    <n v="188.52"/>
    <n v="8.3333333333333321"/>
    <n v="18852"/>
    <x v="1"/>
    <s v="Truck"/>
    <n v="9941"/>
    <n v="17751"/>
    <x v="9"/>
  </r>
  <r>
    <s v="T014"/>
    <x v="4"/>
    <x v="8"/>
    <s v="Hyderabad"/>
    <s v="Bangalore"/>
    <x v="12"/>
    <n v="1524"/>
    <n v="104.51"/>
    <n v="14.582336618505405"/>
    <n v="10451"/>
    <x v="0"/>
    <s v="Truck"/>
    <n v="9941"/>
    <n v="17751"/>
    <x v="11"/>
  </r>
  <r>
    <s v="T015"/>
    <x v="4"/>
    <x v="9"/>
    <s v="Kolkata"/>
    <s v="Mumbai"/>
    <x v="13"/>
    <n v="1956"/>
    <n v="179.88"/>
    <n v="10.873915943962642"/>
    <n v="17988"/>
    <x v="0"/>
    <s v="Truck"/>
    <n v="9941"/>
    <n v="17751"/>
    <x v="10"/>
  </r>
  <r>
    <s v="T016"/>
    <x v="4"/>
    <x v="9"/>
    <s v="Bangalore"/>
    <s v="Mumbai"/>
    <x v="14"/>
    <n v="858"/>
    <n v="92.7"/>
    <n v="9.2556634304207108"/>
    <n v="9270"/>
    <x v="1"/>
    <s v="Truck"/>
    <n v="9941"/>
    <n v="17751"/>
    <x v="12"/>
  </r>
  <r>
    <s v="T017"/>
    <x v="2"/>
    <x v="3"/>
    <s v="Pune"/>
    <s v="Kolkata"/>
    <x v="15"/>
    <n v="1269"/>
    <n v="102.91"/>
    <n v="12.331163152268973"/>
    <n v="10291"/>
    <x v="0"/>
    <s v="Van"/>
    <n v="2598"/>
    <n v="12837"/>
    <x v="13"/>
  </r>
  <r>
    <s v="T018"/>
    <x v="2"/>
    <x v="5"/>
    <s v="Pune"/>
    <s v="Delhi"/>
    <x v="16"/>
    <n v="1565"/>
    <n v="107.23"/>
    <n v="14.59479623239765"/>
    <n v="10723"/>
    <x v="0"/>
    <s v="Van"/>
    <n v="2598"/>
    <n v="12837"/>
    <x v="14"/>
  </r>
  <r>
    <s v="T019"/>
    <x v="2"/>
    <x v="5"/>
    <s v="Hyderabad"/>
    <s v="Pune"/>
    <x v="3"/>
    <n v="1796"/>
    <n v="155.52000000000001"/>
    <n v="11.548353909465019"/>
    <n v="15552.000000000002"/>
    <x v="0"/>
    <s v="Van"/>
    <n v="2598"/>
    <n v="12837"/>
    <x v="15"/>
  </r>
  <r>
    <s v="T020"/>
    <x v="0"/>
    <x v="6"/>
    <s v="Mumbai"/>
    <s v="Bangalore"/>
    <x v="1"/>
    <n v="1640"/>
    <n v="148.87"/>
    <n v="11.016322966346477"/>
    <n v="14887"/>
    <x v="0"/>
    <s v="Mini-Truck"/>
    <n v="8803"/>
    <n v="9033"/>
    <x v="16"/>
  </r>
  <r>
    <s v="T021"/>
    <x v="2"/>
    <x v="3"/>
    <s v="Delhi"/>
    <s v="Mumbai"/>
    <x v="17"/>
    <n v="446"/>
    <n v="31.98"/>
    <n v="13.946216385240776"/>
    <n v="3198"/>
    <x v="1"/>
    <s v="Van"/>
    <n v="2598"/>
    <n v="12837"/>
    <x v="17"/>
  </r>
  <r>
    <s v="T022"/>
    <x v="2"/>
    <x v="2"/>
    <s v="Hyderabad"/>
    <s v="Delhi"/>
    <x v="18"/>
    <n v="140"/>
    <n v="11.44"/>
    <n v="12.237762237762238"/>
    <n v="1144"/>
    <x v="0"/>
    <s v="Van"/>
    <n v="2598"/>
    <n v="12837"/>
    <x v="18"/>
  </r>
  <r>
    <s v="T023"/>
    <x v="1"/>
    <x v="7"/>
    <s v="Chennai"/>
    <s v="Delhi"/>
    <x v="19"/>
    <n v="1729"/>
    <n v="197.55"/>
    <n v="8.7522146292077956"/>
    <n v="19755"/>
    <x v="0"/>
    <s v="Van"/>
    <n v="6053"/>
    <n v="5914"/>
    <x v="19"/>
  </r>
  <r>
    <s v="T024"/>
    <x v="0"/>
    <x v="0"/>
    <s v="Kolkata"/>
    <s v="Mumbai"/>
    <x v="13"/>
    <n v="1376"/>
    <n v="96.63"/>
    <n v="14.239884093966678"/>
    <n v="9663"/>
    <x v="0"/>
    <s v="Mini-Truck"/>
    <n v="8803"/>
    <n v="9033"/>
    <x v="20"/>
  </r>
  <r>
    <s v="T025"/>
    <x v="0"/>
    <x v="6"/>
    <s v="Bangalore"/>
    <s v="Chennai"/>
    <x v="20"/>
    <n v="1721"/>
    <n v="120.65"/>
    <n v="14.264401160381267"/>
    <n v="12065"/>
    <x v="1"/>
    <s v="Mini-Truck"/>
    <n v="8803"/>
    <n v="9033"/>
    <x v="19"/>
  </r>
  <r>
    <s v="T026"/>
    <x v="4"/>
    <x v="7"/>
    <s v="Chennai"/>
    <s v="Pune"/>
    <x v="21"/>
    <n v="1784"/>
    <n v="131.01"/>
    <n v="13.617281123578353"/>
    <n v="13101"/>
    <x v="1"/>
    <s v="Truck"/>
    <n v="9941"/>
    <n v="17751"/>
    <x v="21"/>
  </r>
  <r>
    <s v="T027"/>
    <x v="1"/>
    <x v="3"/>
    <s v="Pune"/>
    <s v="Kolkata"/>
    <x v="15"/>
    <n v="1007"/>
    <n v="116.6"/>
    <n v="8.6363636363636367"/>
    <n v="11660"/>
    <x v="1"/>
    <s v="Van"/>
    <n v="6053"/>
    <n v="5914"/>
    <x v="2"/>
  </r>
  <r>
    <s v="T028"/>
    <x v="4"/>
    <x v="9"/>
    <s v="Pune"/>
    <s v="Bangalore"/>
    <x v="22"/>
    <n v="1903"/>
    <n v="151.18"/>
    <n v="12.587643868236539"/>
    <n v="15118"/>
    <x v="1"/>
    <s v="Truck"/>
    <n v="9941"/>
    <n v="17751"/>
    <x v="22"/>
  </r>
  <r>
    <s v="T029"/>
    <x v="5"/>
    <x v="9"/>
    <s v="Mumbai"/>
    <s v="Bangalore"/>
    <x v="1"/>
    <n v="1262"/>
    <n v="100.72"/>
    <n v="12.529785544082605"/>
    <n v="10072"/>
    <x v="0"/>
    <s v="Van"/>
    <n v="8424"/>
    <n v="5633"/>
    <x v="23"/>
  </r>
  <r>
    <s v="T030"/>
    <x v="3"/>
    <x v="2"/>
    <s v="Kolkata"/>
    <s v="Hyderabad"/>
    <x v="9"/>
    <n v="317"/>
    <n v="28.83"/>
    <n v="10.995490808185918"/>
    <n v="2883"/>
    <x v="0"/>
    <s v="Truck"/>
    <n v="1970"/>
    <n v="6776"/>
    <x v="15"/>
  </r>
  <r>
    <s v="T031"/>
    <x v="4"/>
    <x v="7"/>
    <s v="Hyderabad"/>
    <s v="Delhi"/>
    <x v="18"/>
    <n v="1188"/>
    <n v="92.84"/>
    <n v="12.796208530805687"/>
    <n v="9284"/>
    <x v="0"/>
    <s v="Truck"/>
    <n v="9941"/>
    <n v="17751"/>
    <x v="24"/>
  </r>
  <r>
    <s v="T032"/>
    <x v="5"/>
    <x v="5"/>
    <s v="Hyderabad"/>
    <s v="Kolkata"/>
    <x v="23"/>
    <n v="398"/>
    <n v="43.89"/>
    <n v="9.0681248575985425"/>
    <n v="4389"/>
    <x v="1"/>
    <s v="Van"/>
    <n v="8424"/>
    <n v="5633"/>
    <x v="25"/>
  </r>
  <r>
    <s v="T033"/>
    <x v="4"/>
    <x v="2"/>
    <s v="Hyderabad"/>
    <s v="Chennai"/>
    <x v="24"/>
    <n v="385"/>
    <n v="31.03"/>
    <n v="12.407347728005156"/>
    <n v="3103"/>
    <x v="1"/>
    <s v="Truck"/>
    <n v="9941"/>
    <n v="17751"/>
    <x v="26"/>
  </r>
  <r>
    <s v="T034"/>
    <x v="3"/>
    <x v="5"/>
    <s v="Delhi"/>
    <s v="Hyderabad"/>
    <x v="7"/>
    <n v="818"/>
    <n v="94.24"/>
    <n v="8.6799660441426152"/>
    <n v="9424"/>
    <x v="1"/>
    <s v="Truck"/>
    <n v="1970"/>
    <n v="6776"/>
    <x v="3"/>
  </r>
  <r>
    <s v="T035"/>
    <x v="0"/>
    <x v="7"/>
    <s v="Delhi"/>
    <s v="Kolkata"/>
    <x v="25"/>
    <n v="1806"/>
    <n v="121.36"/>
    <n v="14.88134475939354"/>
    <n v="12136"/>
    <x v="0"/>
    <s v="Mini-Truck"/>
    <n v="8803"/>
    <n v="9033"/>
    <x v="27"/>
  </r>
  <r>
    <s v="T036"/>
    <x v="3"/>
    <x v="5"/>
    <s v="Delhi"/>
    <s v="Pune"/>
    <x v="0"/>
    <n v="424"/>
    <n v="37.630000000000003"/>
    <n v="11.267605633802816"/>
    <n v="3763.0000000000005"/>
    <x v="0"/>
    <s v="Truck"/>
    <n v="1970"/>
    <n v="6776"/>
    <x v="3"/>
  </r>
  <r>
    <s v="T037"/>
    <x v="1"/>
    <x v="0"/>
    <s v="Delhi"/>
    <s v="Bangalore"/>
    <x v="26"/>
    <n v="909"/>
    <n v="70.400000000000006"/>
    <n v="12.911931818181817"/>
    <n v="7040.0000000000009"/>
    <x v="0"/>
    <s v="Van"/>
    <n v="6053"/>
    <n v="5914"/>
    <x v="12"/>
  </r>
  <r>
    <s v="T038"/>
    <x v="6"/>
    <x v="9"/>
    <s v="Bangalore"/>
    <s v="Mumbai"/>
    <x v="14"/>
    <n v="1404"/>
    <n v="151.36000000000001"/>
    <n v="9.2758985200845654"/>
    <n v="15136.000000000002"/>
    <x v="1"/>
    <s v="Truck"/>
    <n v="1207"/>
    <n v="18031"/>
    <x v="28"/>
  </r>
  <r>
    <s v="T039"/>
    <x v="6"/>
    <x v="4"/>
    <s v="Bangalore"/>
    <s v="Pune"/>
    <x v="27"/>
    <n v="555"/>
    <n v="37.39"/>
    <n v="14.843541053757688"/>
    <n v="3739"/>
    <x v="0"/>
    <s v="Truck"/>
    <n v="1207"/>
    <n v="18031"/>
    <x v="17"/>
  </r>
  <r>
    <s v="T040"/>
    <x v="5"/>
    <x v="1"/>
    <s v="Hyderabad"/>
    <s v="Kolkata"/>
    <x v="23"/>
    <n v="705"/>
    <n v="62.94"/>
    <n v="11.201143946615826"/>
    <n v="6294"/>
    <x v="1"/>
    <s v="Van"/>
    <n v="8424"/>
    <n v="5633"/>
    <x v="29"/>
  </r>
  <r>
    <s v="T041"/>
    <x v="1"/>
    <x v="0"/>
    <s v="Hyderabad"/>
    <s v="Delhi"/>
    <x v="18"/>
    <n v="64"/>
    <n v="4.96"/>
    <n v="12.903225806451614"/>
    <n v="496"/>
    <x v="1"/>
    <s v="Van"/>
    <n v="6053"/>
    <n v="5914"/>
    <x v="30"/>
  </r>
  <r>
    <s v="T042"/>
    <x v="4"/>
    <x v="4"/>
    <s v="Hyderabad"/>
    <s v="Chennai"/>
    <x v="24"/>
    <n v="1245"/>
    <n v="95.14"/>
    <n v="13.085978557914652"/>
    <n v="9514"/>
    <x v="0"/>
    <s v="Truck"/>
    <n v="9941"/>
    <n v="17751"/>
    <x v="27"/>
  </r>
  <r>
    <s v="T043"/>
    <x v="1"/>
    <x v="9"/>
    <s v="Hyderabad"/>
    <s v="Bangalore"/>
    <x v="12"/>
    <n v="782"/>
    <n v="8.7100000000000009"/>
    <n v="89.781859931113658"/>
    <n v="871.00000000000011"/>
    <x v="1"/>
    <s v="Van"/>
    <n v="6053"/>
    <n v="5914"/>
    <x v="16"/>
  </r>
  <r>
    <s v="T044"/>
    <x v="0"/>
    <x v="3"/>
    <s v="Delhi"/>
    <s v="Mumbai"/>
    <x v="17"/>
    <n v="1259"/>
    <n v="87.59"/>
    <n v="14.373786961981962"/>
    <n v="8759"/>
    <x v="1"/>
    <s v="Mini-Truck"/>
    <n v="8803"/>
    <n v="9033"/>
    <x v="31"/>
  </r>
  <r>
    <s v="T045"/>
    <x v="3"/>
    <x v="4"/>
    <s v="Kolkata"/>
    <s v="Chennai"/>
    <x v="11"/>
    <n v="1803"/>
    <n v="211.34"/>
    <n v="8.5312766158796247"/>
    <n v="21134"/>
    <x v="0"/>
    <s v="Truck"/>
    <n v="1970"/>
    <n v="6776"/>
    <x v="32"/>
  </r>
  <r>
    <s v="T046"/>
    <x v="0"/>
    <x v="3"/>
    <s v="Chennai"/>
    <s v="Hyderabad"/>
    <x v="28"/>
    <n v="1096"/>
    <n v="100.52"/>
    <n v="10.903302825308396"/>
    <n v="10052"/>
    <x v="1"/>
    <s v="Mini-Truck"/>
    <n v="8803"/>
    <n v="9033"/>
    <x v="10"/>
  </r>
  <r>
    <s v="T047"/>
    <x v="4"/>
    <x v="9"/>
    <s v="Hyderabad"/>
    <s v="Delhi"/>
    <x v="18"/>
    <n v="572"/>
    <n v="61.6"/>
    <n v="9.2857142857142847"/>
    <n v="6160"/>
    <x v="0"/>
    <s v="Truck"/>
    <n v="9941"/>
    <n v="17751"/>
    <x v="33"/>
  </r>
  <r>
    <s v="T048"/>
    <x v="0"/>
    <x v="0"/>
    <s v="Chennai"/>
    <s v="Bangalore"/>
    <x v="29"/>
    <n v="1441"/>
    <n v="140.79"/>
    <n v="10.235101924852618"/>
    <n v="14079"/>
    <x v="1"/>
    <s v="Mini-Truck"/>
    <n v="8803"/>
    <n v="9033"/>
    <x v="15"/>
  </r>
  <r>
    <s v="T049"/>
    <x v="2"/>
    <x v="7"/>
    <s v="Bangalore"/>
    <s v="Mumbai"/>
    <x v="14"/>
    <n v="1685"/>
    <n v="119.01"/>
    <n v="14.158474077808586"/>
    <n v="11901"/>
    <x v="1"/>
    <s v="Van"/>
    <n v="2598"/>
    <n v="12837"/>
    <x v="11"/>
  </r>
  <r>
    <s v="T050"/>
    <x v="1"/>
    <x v="4"/>
    <s v="Mumbai"/>
    <s v="Delhi"/>
    <x v="30"/>
    <n v="1233"/>
    <n v="153.35"/>
    <n v="8.0404303880013046"/>
    <n v="15335"/>
    <x v="0"/>
    <s v="Van"/>
    <n v="6053"/>
    <n v="5914"/>
    <x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0D0F0A-CFD2-4F33-A5E9-597228D5FF0E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88:B91" firstHeaderRow="1" firstDataRow="1" firstDataCol="1" rowPageCount="1" colPageCount="1"/>
  <pivotFields count="17">
    <pivotField dataField="1" showAll="0"/>
    <pivotField showAll="0">
      <items count="8">
        <item x="5"/>
        <item x="3"/>
        <item x="6"/>
        <item x="0"/>
        <item x="4"/>
        <item x="1"/>
        <item x="2"/>
        <item t="default"/>
      </items>
    </pivotField>
    <pivotField showAll="0">
      <items count="11">
        <item x="0"/>
        <item x="6"/>
        <item x="4"/>
        <item x="7"/>
        <item x="8"/>
        <item x="9"/>
        <item x="3"/>
        <item x="1"/>
        <item x="2"/>
        <item x="5"/>
        <item t="default"/>
      </items>
    </pivotField>
    <pivotField showAll="0"/>
    <pivotField showAll="0"/>
    <pivotField showAll="0"/>
    <pivotField numFmtId="1" showAll="0"/>
    <pivotField numFmtId="2" showAll="0"/>
    <pivotField numFmtId="2" showAll="0"/>
    <pivotField numFmtId="2" showAll="0"/>
    <pivotField axis="axisPage" multipleItemSelectionAllowed="1" showAll="0">
      <items count="3">
        <item x="1"/>
        <item x="0"/>
        <item t="default"/>
      </items>
    </pivotField>
    <pivotField showAll="0"/>
    <pivotField numFmtId="1" showAll="0"/>
    <pivotField numFmtId="1" showAll="0"/>
    <pivotField numFmtId="14" showAll="0">
      <items count="35">
        <item x="7"/>
        <item x="16"/>
        <item x="17"/>
        <item x="29"/>
        <item x="13"/>
        <item x="21"/>
        <item x="12"/>
        <item x="6"/>
        <item x="10"/>
        <item x="33"/>
        <item x="26"/>
        <item x="30"/>
        <item x="0"/>
        <item x="23"/>
        <item x="31"/>
        <item x="9"/>
        <item x="24"/>
        <item x="25"/>
        <item x="19"/>
        <item x="18"/>
        <item x="27"/>
        <item x="14"/>
        <item x="32"/>
        <item x="20"/>
        <item x="4"/>
        <item x="11"/>
        <item x="2"/>
        <item x="3"/>
        <item x="22"/>
        <item x="1"/>
        <item x="8"/>
        <item x="28"/>
        <item x="5"/>
        <item x="15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6"/>
  </rowFields>
  <rowItems count="3">
    <i>
      <x v="1"/>
    </i>
    <i>
      <x v="2"/>
    </i>
    <i t="grand">
      <x/>
    </i>
  </rowItems>
  <colItems count="1">
    <i/>
  </colItems>
  <pageFields count="1">
    <pageField fld="10" hier="-1"/>
  </pageFields>
  <dataFields count="1">
    <dataField name="Count of Projects" fld="0" subtotal="count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6FAF7D-DFFE-4421-BC00-7DE6DE1214CC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73:B81" firstHeaderRow="1" firstDataRow="1" firstDataCol="1"/>
  <pivotFields count="17">
    <pivotField showAll="0"/>
    <pivotField axis="axisRow" showAll="0">
      <items count="8">
        <item x="5"/>
        <item x="3"/>
        <item x="6"/>
        <item x="0"/>
        <item x="4"/>
        <item x="1"/>
        <item x="2"/>
        <item t="default"/>
      </items>
    </pivotField>
    <pivotField showAll="0">
      <items count="11">
        <item x="0"/>
        <item x="6"/>
        <item x="4"/>
        <item x="7"/>
        <item x="8"/>
        <item x="9"/>
        <item x="3"/>
        <item x="1"/>
        <item x="2"/>
        <item x="5"/>
        <item t="default"/>
      </items>
    </pivotField>
    <pivotField showAll="0"/>
    <pivotField showAll="0"/>
    <pivotField showAll="0"/>
    <pivotField numFmtId="1" showAll="0"/>
    <pivotField numFmtId="2" showAll="0"/>
    <pivotField numFmtId="2" showAll="0"/>
    <pivotField numFmtId="2" showAll="0"/>
    <pivotField showAll="0">
      <items count="3">
        <item x="1"/>
        <item x="0"/>
        <item t="default"/>
      </items>
    </pivotField>
    <pivotField showAll="0"/>
    <pivotField numFmtId="1" showAll="0"/>
    <pivotField dataField="1" numFmtId="1" showAll="0"/>
    <pivotField numFmtId="14" showAll="0">
      <items count="35">
        <item x="7"/>
        <item x="16"/>
        <item x="17"/>
        <item x="29"/>
        <item x="13"/>
        <item x="21"/>
        <item x="12"/>
        <item x="6"/>
        <item x="10"/>
        <item x="33"/>
        <item x="26"/>
        <item x="30"/>
        <item x="0"/>
        <item x="23"/>
        <item x="31"/>
        <item x="9"/>
        <item x="24"/>
        <item x="25"/>
        <item x="19"/>
        <item x="18"/>
        <item x="27"/>
        <item x="14"/>
        <item x="32"/>
        <item x="20"/>
        <item x="4"/>
        <item x="11"/>
        <item x="2"/>
        <item x="3"/>
        <item x="22"/>
        <item x="1"/>
        <item x="8"/>
        <item x="28"/>
        <item x="5"/>
        <item x="15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Maintenance_Cost" fld="13" baseField="0" baseItem="0" numFmtId="1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9A0068-02FF-48C9-A453-8BC537F91829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59:B67" firstHeaderRow="1" firstDataRow="1" firstDataCol="1"/>
  <pivotFields count="17">
    <pivotField showAll="0"/>
    <pivotField axis="axisRow" showAll="0">
      <items count="8">
        <item x="5"/>
        <item x="3"/>
        <item x="6"/>
        <item x="0"/>
        <item x="4"/>
        <item x="1"/>
        <item x="2"/>
        <item t="default"/>
      </items>
    </pivotField>
    <pivotField showAll="0">
      <items count="11">
        <item x="0"/>
        <item x="6"/>
        <item x="4"/>
        <item x="7"/>
        <item x="8"/>
        <item x="9"/>
        <item x="3"/>
        <item x="1"/>
        <item x="2"/>
        <item x="5"/>
        <item t="default"/>
      </items>
    </pivotField>
    <pivotField showAll="0"/>
    <pivotField showAll="0"/>
    <pivotField showAll="0"/>
    <pivotField numFmtId="1" showAll="0"/>
    <pivotField numFmtId="2" showAll="0"/>
    <pivotField dataField="1" numFmtId="2" showAll="0"/>
    <pivotField numFmtId="2" showAll="0"/>
    <pivotField showAll="0">
      <items count="3">
        <item x="1"/>
        <item x="0"/>
        <item t="default"/>
      </items>
    </pivotField>
    <pivotField showAll="0"/>
    <pivotField numFmtId="1" showAll="0"/>
    <pivotField numFmtId="1" showAll="0"/>
    <pivotField numFmtId="14" showAll="0">
      <items count="35">
        <item x="7"/>
        <item x="16"/>
        <item x="17"/>
        <item x="29"/>
        <item x="13"/>
        <item x="21"/>
        <item x="12"/>
        <item x="6"/>
        <item x="10"/>
        <item x="33"/>
        <item x="26"/>
        <item x="30"/>
        <item x="0"/>
        <item x="23"/>
        <item x="31"/>
        <item x="9"/>
        <item x="24"/>
        <item x="25"/>
        <item x="19"/>
        <item x="18"/>
        <item x="27"/>
        <item x="14"/>
        <item x="32"/>
        <item x="20"/>
        <item x="4"/>
        <item x="11"/>
        <item x="2"/>
        <item x="3"/>
        <item x="22"/>
        <item x="1"/>
        <item x="8"/>
        <item x="28"/>
        <item x="5"/>
        <item x="15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Fuel Efficiency" fld="8" baseField="0" baseItem="0" numFmtId="2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9041E8-2489-4760-94DB-62DB8394061E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2:B54" firstHeaderRow="1" firstDataRow="1" firstDataCol="1"/>
  <pivotFields count="17">
    <pivotField showAll="0"/>
    <pivotField showAll="0">
      <items count="8">
        <item x="5"/>
        <item x="3"/>
        <item x="6"/>
        <item x="0"/>
        <item x="4"/>
        <item x="1"/>
        <item x="2"/>
        <item t="default"/>
      </items>
    </pivotField>
    <pivotField showAll="0">
      <items count="11">
        <item x="0"/>
        <item x="6"/>
        <item x="4"/>
        <item x="7"/>
        <item x="8"/>
        <item x="9"/>
        <item x="3"/>
        <item x="1"/>
        <item x="2"/>
        <item x="5"/>
        <item t="default"/>
      </items>
    </pivotField>
    <pivotField showAll="0"/>
    <pivotField showAll="0"/>
    <pivotField axis="axisRow" showAll="0">
      <items count="32">
        <item x="20"/>
        <item x="8"/>
        <item x="14"/>
        <item x="27"/>
        <item x="29"/>
        <item x="19"/>
        <item x="28"/>
        <item x="6"/>
        <item x="5"/>
        <item x="21"/>
        <item x="26"/>
        <item x="7"/>
        <item x="25"/>
        <item x="17"/>
        <item x="0"/>
        <item x="12"/>
        <item x="24"/>
        <item x="18"/>
        <item x="23"/>
        <item x="3"/>
        <item x="11"/>
        <item x="10"/>
        <item x="9"/>
        <item x="13"/>
        <item x="1"/>
        <item x="30"/>
        <item x="2"/>
        <item x="22"/>
        <item x="16"/>
        <item x="15"/>
        <item x="4"/>
        <item t="default"/>
      </items>
    </pivotField>
    <pivotField numFmtId="1" showAll="0"/>
    <pivotField dataField="1" numFmtId="2" showAll="0"/>
    <pivotField numFmtId="2" showAll="0"/>
    <pivotField numFmtId="2" showAll="0"/>
    <pivotField showAll="0">
      <items count="3">
        <item x="1"/>
        <item x="0"/>
        <item t="default"/>
      </items>
    </pivotField>
    <pivotField showAll="0"/>
    <pivotField numFmtId="1" showAll="0"/>
    <pivotField numFmtId="1" showAll="0"/>
    <pivotField numFmtId="14" showAll="0">
      <items count="35">
        <item x="7"/>
        <item x="16"/>
        <item x="17"/>
        <item x="29"/>
        <item x="13"/>
        <item x="21"/>
        <item x="12"/>
        <item x="6"/>
        <item x="10"/>
        <item x="33"/>
        <item x="26"/>
        <item x="30"/>
        <item x="0"/>
        <item x="23"/>
        <item x="31"/>
        <item x="9"/>
        <item x="24"/>
        <item x="25"/>
        <item x="19"/>
        <item x="18"/>
        <item x="27"/>
        <item x="14"/>
        <item x="32"/>
        <item x="20"/>
        <item x="4"/>
        <item x="11"/>
        <item x="2"/>
        <item x="3"/>
        <item x="22"/>
        <item x="1"/>
        <item x="8"/>
        <item x="28"/>
        <item x="5"/>
        <item x="15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Sum of Fuel_Consumed_L" fld="7" baseField="0" baseItem="0" numFmtId="2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13BB47-4087-474C-B08B-30B83ADDFF00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4" firstHeaderRow="1" firstDataRow="1" firstDataCol="1" rowPageCount="1" colPageCount="1"/>
  <pivotFields count="17">
    <pivotField showAll="0"/>
    <pivotField showAll="0">
      <items count="8">
        <item x="5"/>
        <item x="3"/>
        <item x="6"/>
        <item x="0"/>
        <item x="4"/>
        <item x="1"/>
        <item x="2"/>
        <item t="default"/>
      </items>
    </pivotField>
    <pivotField axis="axisRow" showAll="0">
      <items count="11">
        <item x="0"/>
        <item x="6"/>
        <item x="4"/>
        <item x="7"/>
        <item x="8"/>
        <item x="9"/>
        <item x="3"/>
        <item x="1"/>
        <item x="2"/>
        <item x="5"/>
        <item t="default"/>
      </items>
    </pivotField>
    <pivotField showAll="0"/>
    <pivotField showAll="0"/>
    <pivotField showAll="0"/>
    <pivotField numFmtId="1" showAll="0"/>
    <pivotField numFmtId="2" showAll="0"/>
    <pivotField numFmtId="2" showAll="0"/>
    <pivotField numFmtId="2" showAll="0"/>
    <pivotField axis="axisPage" dataField="1" showAll="0">
      <items count="3">
        <item x="1"/>
        <item x="0"/>
        <item t="default"/>
      </items>
    </pivotField>
    <pivotField showAll="0"/>
    <pivotField numFmtId="1" showAll="0"/>
    <pivotField numFmtId="1" showAll="0"/>
    <pivotField numFmtId="14" showAll="0">
      <items count="35">
        <item x="7"/>
        <item x="16"/>
        <item x="17"/>
        <item x="29"/>
        <item x="13"/>
        <item x="21"/>
        <item x="12"/>
        <item x="6"/>
        <item x="10"/>
        <item x="33"/>
        <item x="26"/>
        <item x="30"/>
        <item x="0"/>
        <item x="23"/>
        <item x="31"/>
        <item x="9"/>
        <item x="24"/>
        <item x="25"/>
        <item x="19"/>
        <item x="18"/>
        <item x="27"/>
        <item x="14"/>
        <item x="32"/>
        <item x="20"/>
        <item x="4"/>
        <item x="11"/>
        <item x="2"/>
        <item x="3"/>
        <item x="22"/>
        <item x="1"/>
        <item x="8"/>
        <item x="28"/>
        <item x="5"/>
        <item x="15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10" item="1" hier="-1"/>
  </pageFields>
  <dataFields count="1">
    <dataField name="Count of Delivery_Status" fld="1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04A00C-4A70-4BDE-A08F-61AAEF834A97}" name="Table2" displayName="Table2" ref="A1:D8" totalsRowShown="0" headerRowDxfId="22" headerRowBorderDxfId="21" tableBorderDxfId="20">
  <autoFilter ref="A1:D8" xr:uid="{A904A00C-4A70-4BDE-A08F-61AAEF834A97}"/>
  <tableColumns count="4">
    <tableColumn id="1" xr3:uid="{4FA15F54-DC54-4FD6-95E1-6D169AA0C9A8}" name="Vehicle_ID" dataDxfId="19"/>
    <tableColumn id="2" xr3:uid="{0389065B-D632-42BD-AFED-BF601F1DB342}" name="Vehicle_Type" dataDxfId="18"/>
    <tableColumn id="3" xr3:uid="{ECAACD9C-FBD9-49DA-AED6-70D34F2CC360}" name="Capacity_kg" dataDxfId="17"/>
    <tableColumn id="4" xr3:uid="{03EDCB0C-D608-44DD-9542-3DD1B9DE3DC5}" name="Maintenance_Cost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E4A0CA-6BD4-4FF9-A4F7-CA7D3F1CAD1A}" name="Table1" displayName="Table1" ref="A1:O51" totalsRowShown="0" tableBorderDxfId="15">
  <autoFilter ref="A1:O51" xr:uid="{6DE4A0CA-6BD4-4FF9-A4F7-CA7D3F1CAD1A}"/>
  <tableColumns count="15">
    <tableColumn id="1" xr3:uid="{BE30FDA6-9461-472F-A322-A36F7EC4602C}" name="Projects" dataDxfId="14"/>
    <tableColumn id="2" xr3:uid="{A2DE2CA1-4817-4139-9EB1-FAAF8DE3C1F8}" name="Vehicle_ID" dataDxfId="13"/>
    <tableColumn id="3" xr3:uid="{A8B0155D-1333-4C76-919E-F72726D466D3}" name="Driver_ID" dataDxfId="12"/>
    <tableColumn id="4" xr3:uid="{B82E6C2F-1234-47DC-85BB-70271B90A454}" name="Origin" dataDxfId="11"/>
    <tableColumn id="5" xr3:uid="{7B66F5E8-8871-49D0-ADF1-1924133DCEC6}" name="Destination" dataDxfId="10"/>
    <tableColumn id="6" xr3:uid="{587FFDD9-3134-4C76-99D0-744A0C8AD09F}" name="Route" dataDxfId="9">
      <calculatedColumnFormula>_xlfn.CONCAT(Trip_Data_worksheet!$D2," - ",Trip_Data_worksheet!$E2)</calculatedColumnFormula>
    </tableColumn>
    <tableColumn id="7" xr3:uid="{B6DE0A97-7B71-43FD-AF2A-5083F445BEEB}" name="Distance_km" dataDxfId="8"/>
    <tableColumn id="8" xr3:uid="{3D40DF69-BD14-462E-9A07-D8AAB522924C}" name="Fuel_Consumed_L" dataDxfId="7"/>
    <tableColumn id="9" xr3:uid="{B1AED216-58CC-4BAA-B149-DCDE924562A0}" name="Fuel Efficiency" dataDxfId="6" dataCellStyle="Comma">
      <calculatedColumnFormula>Trip_Data_worksheet!$G2/Trip_Data_worksheet!$H2</calculatedColumnFormula>
    </tableColumn>
    <tableColumn id="10" xr3:uid="{C35129B1-B2EC-4404-8F0C-AE6F79231E08}" name="Total Fuel Cost(Asuming that Cost Will Be 100 Per Ltr)" dataDxfId="5" dataCellStyle="Comma">
      <calculatedColumnFormula>Trip_Data_worksheet!$H2*100</calculatedColumnFormula>
    </tableColumn>
    <tableColumn id="11" xr3:uid="{E0EAD363-93A5-47EC-99AA-F4B7755398B4}" name="Delivery_Status" dataDxfId="4"/>
    <tableColumn id="12" xr3:uid="{DFBB880A-C34E-4EB1-8459-5C524F2D69C3}" name="Vehicle Type" dataDxfId="3">
      <calculatedColumnFormula array="1">_xlfn.XLOOKUP(Trip_Data_worksheet!$B2,Table2[[#All],[Vehicle_ID]],Table2[[#All],[Vehicle_Type]],0)</calculatedColumnFormula>
    </tableColumn>
    <tableColumn id="13" xr3:uid="{D52467D7-D8EE-4ACC-B001-878045662E1D}" name="Capacity_kg" dataDxfId="2">
      <calculatedColumnFormula array="1">_xlfn.XLOOKUP(Trip_Data_worksheet!$B2,Table2[[#All],[Vehicle_ID]],Table2[[#All],[Capacity_kg]],0)</calculatedColumnFormula>
    </tableColumn>
    <tableColumn id="14" xr3:uid="{A9D39E7D-2680-4A85-8FD2-7349E065506F}" name="Maintenance_Cost" dataDxfId="1">
      <calculatedColumnFormula array="1">_xlfn.XLOOKUP(Trip_Data_worksheet!$B2,Table2[[#All],[Vehicle_ID]],Table2[[#All],[Maintenance_Cost]],0)</calculatedColumnFormula>
    </tableColumn>
    <tableColumn id="15" xr3:uid="{107D7692-2D84-440B-8D1A-60AAF544E957}" name="Delivery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13148-EEFB-4BCB-B638-3788C8DC46D9}">
  <dimension ref="A1:I51"/>
  <sheetViews>
    <sheetView topLeftCell="A16" workbookViewId="0">
      <selection activeCell="M22" sqref="M22"/>
    </sheetView>
  </sheetViews>
  <sheetFormatPr defaultRowHeight="15" x14ac:dyDescent="0.25"/>
  <cols>
    <col min="1" max="1" width="21.42578125" customWidth="1"/>
    <col min="9" max="9" width="18.28515625" bestFit="1" customWidth="1"/>
  </cols>
  <sheetData>
    <row r="1" spans="1:9" x14ac:dyDescent="0.25">
      <c r="A1" s="23" t="s">
        <v>1</v>
      </c>
      <c r="B1" s="23" t="s">
        <v>0</v>
      </c>
      <c r="C1" s="23" t="s">
        <v>2</v>
      </c>
      <c r="D1" s="23" t="s">
        <v>4</v>
      </c>
      <c r="E1" s="23" t="s">
        <v>6</v>
      </c>
      <c r="F1" s="23" t="s">
        <v>8</v>
      </c>
      <c r="G1" s="23" t="s">
        <v>10</v>
      </c>
      <c r="H1" s="23" t="s">
        <v>12</v>
      </c>
      <c r="I1" s="23" t="s">
        <v>15</v>
      </c>
    </row>
    <row r="2" spans="1:9" x14ac:dyDescent="0.25">
      <c r="B2" s="24" t="s">
        <v>17</v>
      </c>
      <c r="C2" s="24" t="s">
        <v>18</v>
      </c>
      <c r="D2" s="24" t="s">
        <v>19</v>
      </c>
      <c r="E2" s="24" t="s">
        <v>20</v>
      </c>
      <c r="F2" s="24">
        <v>1173</v>
      </c>
      <c r="G2" s="24">
        <v>108.42</v>
      </c>
      <c r="H2" s="24" t="s">
        <v>22</v>
      </c>
      <c r="I2" s="25">
        <v>44953</v>
      </c>
    </row>
    <row r="3" spans="1:9" x14ac:dyDescent="0.25">
      <c r="A3" s="24" t="s">
        <v>25</v>
      </c>
      <c r="B3" s="24" t="s">
        <v>24</v>
      </c>
      <c r="C3" s="24" t="s">
        <v>27</v>
      </c>
      <c r="D3" s="24" t="s">
        <v>28</v>
      </c>
      <c r="E3" s="24" t="s">
        <v>29</v>
      </c>
      <c r="F3" s="24">
        <v>1727</v>
      </c>
      <c r="G3" s="24">
        <v>161.33000000000001</v>
      </c>
      <c r="H3" s="24" t="s">
        <v>22</v>
      </c>
      <c r="I3" s="25">
        <v>44978</v>
      </c>
    </row>
    <row r="4" spans="1:9" x14ac:dyDescent="0.25">
      <c r="A4" s="24" t="s">
        <v>30</v>
      </c>
      <c r="B4" s="24" t="s">
        <v>24</v>
      </c>
      <c r="C4" s="24" t="s">
        <v>27</v>
      </c>
      <c r="D4" s="24" t="s">
        <v>28</v>
      </c>
      <c r="E4" s="24" t="s">
        <v>20</v>
      </c>
      <c r="F4" s="24">
        <v>1459</v>
      </c>
      <c r="G4" s="24">
        <v>154.69999999999999</v>
      </c>
      <c r="H4" s="24" t="s">
        <v>22</v>
      </c>
      <c r="I4" s="25">
        <v>44974</v>
      </c>
    </row>
    <row r="5" spans="1:9" x14ac:dyDescent="0.25">
      <c r="A5" s="24" t="s">
        <v>31</v>
      </c>
      <c r="B5" s="24" t="s">
        <v>17</v>
      </c>
      <c r="C5" s="24" t="s">
        <v>32</v>
      </c>
      <c r="D5" s="24" t="s">
        <v>33</v>
      </c>
      <c r="E5" s="24" t="s">
        <v>20</v>
      </c>
      <c r="F5" s="24">
        <v>382</v>
      </c>
      <c r="G5" s="24">
        <v>26.6</v>
      </c>
      <c r="H5" s="24" t="s">
        <v>22</v>
      </c>
      <c r="I5" s="25">
        <v>44975</v>
      </c>
    </row>
    <row r="6" spans="1:9" x14ac:dyDescent="0.25">
      <c r="B6" s="24" t="s">
        <v>24</v>
      </c>
      <c r="C6" s="24" t="s">
        <v>27</v>
      </c>
      <c r="D6" s="24" t="s">
        <v>20</v>
      </c>
      <c r="E6" s="24" t="s">
        <v>28</v>
      </c>
      <c r="F6" s="24">
        <v>398</v>
      </c>
      <c r="G6" s="24">
        <v>33.200000000000003</v>
      </c>
      <c r="H6" s="24" t="s">
        <v>22</v>
      </c>
      <c r="I6" s="25">
        <v>44972</v>
      </c>
    </row>
    <row r="7" spans="1:9" x14ac:dyDescent="0.25">
      <c r="A7" s="24" t="s">
        <v>34</v>
      </c>
      <c r="B7" s="24" t="s">
        <v>24</v>
      </c>
      <c r="C7" s="24" t="s">
        <v>35</v>
      </c>
      <c r="D7" s="24" t="s">
        <v>36</v>
      </c>
      <c r="E7" s="24" t="s">
        <v>28</v>
      </c>
      <c r="F7" s="24">
        <v>1275</v>
      </c>
      <c r="G7" s="24">
        <v>85.04</v>
      </c>
      <c r="H7" s="24" t="s">
        <v>37</v>
      </c>
      <c r="I7" s="25">
        <v>44982</v>
      </c>
    </row>
    <row r="8" spans="1:9" x14ac:dyDescent="0.25">
      <c r="A8" s="24" t="s">
        <v>38</v>
      </c>
      <c r="B8" s="24" t="s">
        <v>26</v>
      </c>
      <c r="C8" s="24" t="s">
        <v>39</v>
      </c>
      <c r="D8" s="24" t="s">
        <v>36</v>
      </c>
      <c r="E8" s="24" t="s">
        <v>40</v>
      </c>
      <c r="F8" s="24">
        <v>752</v>
      </c>
      <c r="G8" s="24">
        <v>58.08</v>
      </c>
      <c r="H8" s="24" t="s">
        <v>22</v>
      </c>
      <c r="I8" s="25">
        <v>44945</v>
      </c>
    </row>
    <row r="9" spans="1:9" x14ac:dyDescent="0.25">
      <c r="A9" s="24" t="s">
        <v>41</v>
      </c>
      <c r="B9" s="24" t="s">
        <v>13</v>
      </c>
      <c r="C9" s="24" t="s">
        <v>42</v>
      </c>
      <c r="D9" s="24" t="s">
        <v>19</v>
      </c>
      <c r="E9" s="24" t="s">
        <v>20</v>
      </c>
      <c r="F9" s="24">
        <v>74</v>
      </c>
      <c r="G9" s="24">
        <v>5.24</v>
      </c>
      <c r="H9" s="24" t="s">
        <v>22</v>
      </c>
      <c r="I9" s="25">
        <v>44927</v>
      </c>
    </row>
    <row r="10" spans="1:9" x14ac:dyDescent="0.25">
      <c r="B10" s="24" t="s">
        <v>13</v>
      </c>
      <c r="C10" s="24" t="s">
        <v>35</v>
      </c>
      <c r="D10" s="24" t="s">
        <v>19</v>
      </c>
      <c r="E10" s="24" t="s">
        <v>33</v>
      </c>
      <c r="F10" s="24">
        <v>186</v>
      </c>
      <c r="G10" s="24">
        <v>16.22</v>
      </c>
      <c r="H10" s="24" t="s">
        <v>22</v>
      </c>
      <c r="I10" s="25">
        <v>44980</v>
      </c>
    </row>
    <row r="11" spans="1:9" x14ac:dyDescent="0.25">
      <c r="A11" s="24" t="s">
        <v>43</v>
      </c>
      <c r="B11" s="24" t="s">
        <v>13</v>
      </c>
      <c r="C11" s="24" t="s">
        <v>44</v>
      </c>
      <c r="D11" s="24" t="s">
        <v>29</v>
      </c>
      <c r="E11" s="24" t="s">
        <v>33</v>
      </c>
      <c r="F11" s="24">
        <v>1375</v>
      </c>
      <c r="G11" s="24">
        <v>105.21</v>
      </c>
      <c r="H11" s="24" t="s">
        <v>37</v>
      </c>
      <c r="I11" s="25">
        <v>44959</v>
      </c>
    </row>
    <row r="12" spans="1:9" x14ac:dyDescent="0.25">
      <c r="A12" s="24" t="s">
        <v>45</v>
      </c>
      <c r="B12" s="24" t="s">
        <v>24</v>
      </c>
      <c r="C12" s="24" t="s">
        <v>39</v>
      </c>
      <c r="D12" s="24" t="s">
        <v>40</v>
      </c>
      <c r="E12" s="24" t="s">
        <v>33</v>
      </c>
      <c r="F12" s="24">
        <v>419</v>
      </c>
      <c r="G12" s="24">
        <v>31.17</v>
      </c>
      <c r="H12" s="24" t="s">
        <v>22</v>
      </c>
      <c r="I12" s="25">
        <v>44947</v>
      </c>
    </row>
    <row r="13" spans="1:9" x14ac:dyDescent="0.25">
      <c r="A13" s="24" t="s">
        <v>46</v>
      </c>
      <c r="B13" s="24" t="s">
        <v>24</v>
      </c>
      <c r="C13" s="24" t="s">
        <v>18</v>
      </c>
      <c r="D13" s="24" t="s">
        <v>40</v>
      </c>
      <c r="E13" s="24" t="s">
        <v>19</v>
      </c>
      <c r="F13" s="24">
        <v>751</v>
      </c>
      <c r="G13" s="24">
        <v>51.77</v>
      </c>
      <c r="H13" s="24" t="s">
        <v>22</v>
      </c>
      <c r="I13" s="25">
        <v>44972</v>
      </c>
    </row>
    <row r="14" spans="1:9" x14ac:dyDescent="0.25">
      <c r="A14" s="24" t="s">
        <v>47</v>
      </c>
      <c r="B14" s="24" t="s">
        <v>23</v>
      </c>
      <c r="C14" s="24" t="s">
        <v>48</v>
      </c>
      <c r="D14" s="24" t="s">
        <v>40</v>
      </c>
      <c r="E14" s="24" t="s">
        <v>36</v>
      </c>
      <c r="F14" s="24">
        <v>1571</v>
      </c>
      <c r="G14" s="24">
        <v>188.52</v>
      </c>
      <c r="H14" s="24" t="s">
        <v>37</v>
      </c>
      <c r="I14" s="25">
        <v>44959</v>
      </c>
    </row>
    <row r="15" spans="1:9" x14ac:dyDescent="0.25">
      <c r="A15" s="24" t="s">
        <v>49</v>
      </c>
      <c r="B15" s="24" t="s">
        <v>23</v>
      </c>
      <c r="C15" s="24" t="s">
        <v>50</v>
      </c>
      <c r="D15" s="24" t="s">
        <v>33</v>
      </c>
      <c r="E15" s="24" t="s">
        <v>29</v>
      </c>
      <c r="F15" s="24">
        <v>1524</v>
      </c>
      <c r="G15" s="24">
        <v>104.51</v>
      </c>
      <c r="H15" s="24" t="s">
        <v>22</v>
      </c>
      <c r="I15" s="25">
        <v>44973</v>
      </c>
    </row>
    <row r="16" spans="1:9" x14ac:dyDescent="0.25">
      <c r="A16" s="24" t="s">
        <v>51</v>
      </c>
      <c r="B16" s="24" t="s">
        <v>23</v>
      </c>
      <c r="C16" s="24" t="s">
        <v>52</v>
      </c>
      <c r="D16" s="24" t="s">
        <v>40</v>
      </c>
      <c r="E16" s="24" t="s">
        <v>28</v>
      </c>
      <c r="F16" s="24">
        <v>1956</v>
      </c>
      <c r="G16" s="24">
        <v>179.88</v>
      </c>
      <c r="H16" s="24" t="s">
        <v>22</v>
      </c>
      <c r="I16" s="25">
        <v>44947</v>
      </c>
    </row>
    <row r="17" spans="1:9" x14ac:dyDescent="0.25">
      <c r="A17" s="24" t="s">
        <v>53</v>
      </c>
      <c r="B17" s="24" t="s">
        <v>23</v>
      </c>
      <c r="C17" s="24" t="s">
        <v>52</v>
      </c>
      <c r="D17" s="24" t="s">
        <v>29</v>
      </c>
      <c r="E17" s="24" t="s">
        <v>28</v>
      </c>
      <c r="F17" s="24">
        <v>858</v>
      </c>
      <c r="G17" s="24">
        <v>92.7</v>
      </c>
      <c r="H17" s="24" t="s">
        <v>37</v>
      </c>
      <c r="I17" s="25">
        <v>44944</v>
      </c>
    </row>
    <row r="18" spans="1:9" x14ac:dyDescent="0.25">
      <c r="A18" s="24" t="s">
        <v>54</v>
      </c>
      <c r="B18" s="24" t="s">
        <v>26</v>
      </c>
      <c r="C18" s="24" t="s">
        <v>35</v>
      </c>
      <c r="D18" s="24" t="s">
        <v>20</v>
      </c>
      <c r="E18" s="24" t="s">
        <v>40</v>
      </c>
      <c r="F18" s="24">
        <v>1269</v>
      </c>
      <c r="G18" s="24">
        <v>102.91</v>
      </c>
      <c r="H18" s="24" t="s">
        <v>22</v>
      </c>
      <c r="I18" s="25">
        <v>44942</v>
      </c>
    </row>
    <row r="19" spans="1:9" x14ac:dyDescent="0.25">
      <c r="A19" s="24" t="s">
        <v>55</v>
      </c>
      <c r="B19" s="24" t="s">
        <v>26</v>
      </c>
      <c r="C19" s="24" t="s">
        <v>42</v>
      </c>
      <c r="D19" s="24" t="s">
        <v>20</v>
      </c>
      <c r="E19" s="24" t="s">
        <v>19</v>
      </c>
      <c r="F19" s="24">
        <v>1565</v>
      </c>
      <c r="G19" s="24">
        <v>107.23</v>
      </c>
      <c r="H19" s="24" t="s">
        <v>22</v>
      </c>
      <c r="I19" s="25">
        <v>44969</v>
      </c>
    </row>
    <row r="20" spans="1:9" x14ac:dyDescent="0.25">
      <c r="A20" s="24" t="s">
        <v>56</v>
      </c>
      <c r="B20" s="24" t="s">
        <v>26</v>
      </c>
      <c r="C20" s="24" t="s">
        <v>42</v>
      </c>
      <c r="D20" s="24" t="s">
        <v>33</v>
      </c>
      <c r="E20" s="24" t="s">
        <v>20</v>
      </c>
      <c r="F20" s="24">
        <v>1796</v>
      </c>
      <c r="G20" s="24">
        <v>155.52000000000001</v>
      </c>
      <c r="H20" s="24" t="s">
        <v>22</v>
      </c>
      <c r="I20" s="25">
        <v>44985</v>
      </c>
    </row>
    <row r="21" spans="1:9" x14ac:dyDescent="0.25">
      <c r="A21" s="24" t="s">
        <v>57</v>
      </c>
      <c r="B21" s="24" t="s">
        <v>17</v>
      </c>
      <c r="C21" s="24" t="s">
        <v>44</v>
      </c>
      <c r="D21" s="24" t="s">
        <v>28</v>
      </c>
      <c r="E21" s="24" t="s">
        <v>29</v>
      </c>
      <c r="F21" s="24">
        <v>1640</v>
      </c>
      <c r="G21" s="24">
        <v>148.87</v>
      </c>
      <c r="H21" s="24" t="s">
        <v>22</v>
      </c>
      <c r="I21" s="25">
        <v>44932</v>
      </c>
    </row>
    <row r="22" spans="1:9" x14ac:dyDescent="0.25">
      <c r="A22" s="24" t="s">
        <v>58</v>
      </c>
      <c r="B22" s="24" t="s">
        <v>26</v>
      </c>
      <c r="C22" s="24" t="s">
        <v>35</v>
      </c>
      <c r="D22" s="24" t="s">
        <v>19</v>
      </c>
      <c r="E22" s="24" t="s">
        <v>28</v>
      </c>
      <c r="F22" s="24">
        <v>446</v>
      </c>
      <c r="G22" s="24">
        <v>31.98</v>
      </c>
      <c r="H22" s="24" t="s">
        <v>37</v>
      </c>
      <c r="I22" s="25">
        <v>44937</v>
      </c>
    </row>
    <row r="23" spans="1:9" x14ac:dyDescent="0.25">
      <c r="A23" s="24" t="s">
        <v>59</v>
      </c>
      <c r="B23" s="24" t="s">
        <v>26</v>
      </c>
      <c r="C23" s="24" t="s">
        <v>32</v>
      </c>
      <c r="D23" s="24" t="s">
        <v>33</v>
      </c>
      <c r="E23" s="24" t="s">
        <v>19</v>
      </c>
      <c r="F23" s="24">
        <v>140</v>
      </c>
      <c r="G23" s="24">
        <v>11.44</v>
      </c>
      <c r="H23" s="24" t="s">
        <v>22</v>
      </c>
      <c r="I23" s="25">
        <v>44964</v>
      </c>
    </row>
    <row r="24" spans="1:9" x14ac:dyDescent="0.25">
      <c r="A24" s="24" t="s">
        <v>60</v>
      </c>
      <c r="B24" s="24" t="s">
        <v>24</v>
      </c>
      <c r="C24" s="24" t="s">
        <v>48</v>
      </c>
      <c r="D24" s="24" t="s">
        <v>36</v>
      </c>
      <c r="E24" s="24" t="s">
        <v>19</v>
      </c>
      <c r="F24" s="24">
        <v>1729</v>
      </c>
      <c r="G24" s="24">
        <v>197.55</v>
      </c>
      <c r="H24" s="24" t="s">
        <v>22</v>
      </c>
      <c r="I24" s="25">
        <v>44963</v>
      </c>
    </row>
    <row r="25" spans="1:9" x14ac:dyDescent="0.25">
      <c r="A25" s="24" t="s">
        <v>61</v>
      </c>
      <c r="B25" s="24" t="s">
        <v>17</v>
      </c>
      <c r="C25" s="24" t="s">
        <v>18</v>
      </c>
      <c r="D25" s="24" t="s">
        <v>40</v>
      </c>
      <c r="E25" s="24" t="s">
        <v>28</v>
      </c>
      <c r="F25" s="24">
        <v>1376</v>
      </c>
      <c r="G25" s="24">
        <v>96.63</v>
      </c>
      <c r="H25" s="24" t="s">
        <v>22</v>
      </c>
      <c r="I25" s="25">
        <v>44971</v>
      </c>
    </row>
    <row r="26" spans="1:9" x14ac:dyDescent="0.25">
      <c r="A26" s="24" t="s">
        <v>62</v>
      </c>
      <c r="B26" s="24" t="s">
        <v>17</v>
      </c>
      <c r="C26" s="24" t="s">
        <v>44</v>
      </c>
      <c r="D26" s="24" t="s">
        <v>29</v>
      </c>
      <c r="E26" s="24" t="s">
        <v>36</v>
      </c>
      <c r="F26" s="24">
        <v>1721</v>
      </c>
      <c r="G26" s="24">
        <v>120.65</v>
      </c>
      <c r="H26" s="24" t="s">
        <v>37</v>
      </c>
      <c r="I26" s="25">
        <v>44963</v>
      </c>
    </row>
    <row r="27" spans="1:9" x14ac:dyDescent="0.25">
      <c r="A27" s="24" t="s">
        <v>63</v>
      </c>
      <c r="B27" s="24" t="s">
        <v>23</v>
      </c>
      <c r="C27" s="24" t="s">
        <v>48</v>
      </c>
      <c r="D27" s="24" t="s">
        <v>36</v>
      </c>
      <c r="E27" s="24" t="s">
        <v>20</v>
      </c>
      <c r="F27" s="24">
        <v>1784</v>
      </c>
      <c r="G27" s="24">
        <v>131.01</v>
      </c>
      <c r="H27" s="24" t="s">
        <v>37</v>
      </c>
      <c r="I27" s="25">
        <v>44943</v>
      </c>
    </row>
    <row r="28" spans="1:9" x14ac:dyDescent="0.25">
      <c r="A28" s="24" t="s">
        <v>64</v>
      </c>
      <c r="B28" s="24" t="s">
        <v>24</v>
      </c>
      <c r="C28" s="24" t="s">
        <v>35</v>
      </c>
      <c r="D28" s="24" t="s">
        <v>20</v>
      </c>
      <c r="E28" s="24" t="s">
        <v>40</v>
      </c>
      <c r="F28" s="24">
        <v>1007</v>
      </c>
      <c r="G28" s="24">
        <v>116.6</v>
      </c>
      <c r="H28" s="24" t="s">
        <v>37</v>
      </c>
      <c r="I28" s="25">
        <v>44974</v>
      </c>
    </row>
    <row r="29" spans="1:9" x14ac:dyDescent="0.25">
      <c r="A29" s="24" t="s">
        <v>65</v>
      </c>
      <c r="B29" s="24" t="s">
        <v>23</v>
      </c>
      <c r="C29" s="24" t="s">
        <v>52</v>
      </c>
      <c r="D29" s="24" t="s">
        <v>20</v>
      </c>
      <c r="E29" s="24" t="s">
        <v>29</v>
      </c>
      <c r="F29" s="24">
        <v>1903</v>
      </c>
      <c r="G29" s="24">
        <v>151.18</v>
      </c>
      <c r="H29" s="24" t="s">
        <v>37</v>
      </c>
      <c r="I29" s="25">
        <v>44977</v>
      </c>
    </row>
    <row r="30" spans="1:9" x14ac:dyDescent="0.25">
      <c r="A30" s="24" t="s">
        <v>66</v>
      </c>
      <c r="B30" s="24" t="s">
        <v>9</v>
      </c>
      <c r="C30" s="24" t="s">
        <v>52</v>
      </c>
      <c r="D30" s="24" t="s">
        <v>28</v>
      </c>
      <c r="E30" s="24" t="s">
        <v>29</v>
      </c>
      <c r="F30" s="24">
        <v>1262</v>
      </c>
      <c r="G30" s="24">
        <v>100.72</v>
      </c>
      <c r="H30" s="24" t="s">
        <v>22</v>
      </c>
      <c r="I30" s="25">
        <v>44954</v>
      </c>
    </row>
    <row r="31" spans="1:9" x14ac:dyDescent="0.25">
      <c r="A31" s="24" t="s">
        <v>67</v>
      </c>
      <c r="B31" s="24" t="s">
        <v>13</v>
      </c>
      <c r="C31" s="24" t="s">
        <v>32</v>
      </c>
      <c r="D31" s="24" t="s">
        <v>40</v>
      </c>
      <c r="E31" s="24" t="s">
        <v>33</v>
      </c>
      <c r="F31" s="24">
        <v>317</v>
      </c>
      <c r="G31" s="24">
        <v>28.83</v>
      </c>
      <c r="H31" s="24" t="s">
        <v>22</v>
      </c>
      <c r="I31" s="25">
        <v>44985</v>
      </c>
    </row>
    <row r="32" spans="1:9" x14ac:dyDescent="0.25">
      <c r="A32" s="24" t="s">
        <v>68</v>
      </c>
      <c r="B32" s="24" t="s">
        <v>23</v>
      </c>
      <c r="C32" s="24" t="s">
        <v>48</v>
      </c>
      <c r="D32" s="24" t="s">
        <v>33</v>
      </c>
      <c r="E32" s="24" t="s">
        <v>19</v>
      </c>
      <c r="F32" s="24">
        <v>1188</v>
      </c>
      <c r="G32" s="24">
        <v>92.84</v>
      </c>
      <c r="H32" s="24" t="s">
        <v>22</v>
      </c>
      <c r="I32" s="25">
        <v>44960</v>
      </c>
    </row>
    <row r="33" spans="1:9" x14ac:dyDescent="0.25">
      <c r="A33" s="24" t="s">
        <v>69</v>
      </c>
      <c r="B33" s="24" t="s">
        <v>9</v>
      </c>
      <c r="C33" s="24" t="s">
        <v>42</v>
      </c>
      <c r="D33" s="24" t="s">
        <v>33</v>
      </c>
      <c r="E33" s="24" t="s">
        <v>40</v>
      </c>
      <c r="F33" s="24">
        <v>398</v>
      </c>
      <c r="G33" s="24">
        <v>43.89</v>
      </c>
      <c r="H33" s="24" t="s">
        <v>37</v>
      </c>
      <c r="I33" s="25">
        <v>44962</v>
      </c>
    </row>
    <row r="34" spans="1:9" x14ac:dyDescent="0.25">
      <c r="A34" s="24" t="s">
        <v>70</v>
      </c>
      <c r="B34" s="24" t="s">
        <v>23</v>
      </c>
      <c r="C34" s="24" t="s">
        <v>32</v>
      </c>
      <c r="D34" s="24" t="s">
        <v>33</v>
      </c>
      <c r="E34" s="24" t="s">
        <v>36</v>
      </c>
      <c r="F34" s="24">
        <v>385</v>
      </c>
      <c r="G34" s="24">
        <v>31.03</v>
      </c>
      <c r="H34" s="24" t="s">
        <v>37</v>
      </c>
      <c r="I34" s="25">
        <v>44950</v>
      </c>
    </row>
    <row r="35" spans="1:9" x14ac:dyDescent="0.25">
      <c r="A35" s="24" t="s">
        <v>71</v>
      </c>
      <c r="B35" s="24" t="s">
        <v>13</v>
      </c>
      <c r="C35" s="24" t="s">
        <v>42</v>
      </c>
      <c r="D35" s="24" t="s">
        <v>19</v>
      </c>
      <c r="E35" s="24" t="s">
        <v>33</v>
      </c>
      <c r="F35" s="24">
        <v>818</v>
      </c>
      <c r="G35" s="24">
        <v>94.24</v>
      </c>
      <c r="H35" s="24" t="s">
        <v>37</v>
      </c>
      <c r="I35" s="25">
        <v>44975</v>
      </c>
    </row>
    <row r="36" spans="1:9" x14ac:dyDescent="0.25">
      <c r="A36" s="24" t="s">
        <v>72</v>
      </c>
      <c r="B36" s="24" t="s">
        <v>17</v>
      </c>
      <c r="C36" s="24" t="s">
        <v>48</v>
      </c>
      <c r="D36" s="24" t="s">
        <v>19</v>
      </c>
      <c r="E36" s="24" t="s">
        <v>40</v>
      </c>
      <c r="F36" s="24">
        <v>1806</v>
      </c>
      <c r="G36" s="24">
        <v>121.36</v>
      </c>
      <c r="H36" s="24" t="s">
        <v>22</v>
      </c>
      <c r="I36" s="25">
        <v>44967</v>
      </c>
    </row>
    <row r="37" spans="1:9" x14ac:dyDescent="0.25">
      <c r="A37" s="24" t="s">
        <v>73</v>
      </c>
      <c r="B37" s="24" t="s">
        <v>13</v>
      </c>
      <c r="C37" s="24" t="s">
        <v>42</v>
      </c>
      <c r="D37" s="24" t="s">
        <v>19</v>
      </c>
      <c r="E37" s="24" t="s">
        <v>20</v>
      </c>
      <c r="F37" s="24">
        <v>424</v>
      </c>
      <c r="G37" s="24">
        <v>37.630000000000003</v>
      </c>
      <c r="H37" s="24" t="s">
        <v>22</v>
      </c>
      <c r="I37" s="25">
        <v>44975</v>
      </c>
    </row>
    <row r="38" spans="1:9" x14ac:dyDescent="0.25">
      <c r="A38" s="26" t="s">
        <v>74</v>
      </c>
      <c r="B38" s="26" t="s">
        <v>24</v>
      </c>
      <c r="C38" s="26" t="s">
        <v>18</v>
      </c>
      <c r="D38" s="26" t="s">
        <v>19</v>
      </c>
      <c r="E38" s="26" t="s">
        <v>29</v>
      </c>
      <c r="F38" s="26">
        <v>909</v>
      </c>
      <c r="G38" s="26">
        <v>70.400000000000006</v>
      </c>
      <c r="H38" s="26" t="s">
        <v>22</v>
      </c>
      <c r="I38" s="27">
        <v>44944</v>
      </c>
    </row>
    <row r="39" spans="1:9" x14ac:dyDescent="0.25">
      <c r="A39" s="24" t="s">
        <v>75</v>
      </c>
      <c r="B39" s="24" t="s">
        <v>16</v>
      </c>
      <c r="C39" s="24" t="s">
        <v>52</v>
      </c>
      <c r="D39" s="24" t="s">
        <v>29</v>
      </c>
      <c r="E39" s="24" t="s">
        <v>28</v>
      </c>
      <c r="F39" s="24">
        <v>1404</v>
      </c>
      <c r="G39" s="24">
        <v>151.36000000000001</v>
      </c>
      <c r="H39" s="24" t="s">
        <v>37</v>
      </c>
      <c r="I39" s="25">
        <v>44981</v>
      </c>
    </row>
    <row r="40" spans="1:9" x14ac:dyDescent="0.25">
      <c r="A40" s="24" t="s">
        <v>76</v>
      </c>
      <c r="B40" s="24" t="s">
        <v>16</v>
      </c>
      <c r="C40" s="24" t="s">
        <v>39</v>
      </c>
      <c r="D40" s="24" t="s">
        <v>29</v>
      </c>
      <c r="E40" s="24" t="s">
        <v>20</v>
      </c>
      <c r="F40" s="24">
        <v>555</v>
      </c>
      <c r="G40" s="24">
        <v>37.39</v>
      </c>
      <c r="H40" s="24" t="s">
        <v>22</v>
      </c>
      <c r="I40" s="25">
        <v>44937</v>
      </c>
    </row>
    <row r="41" spans="1:9" x14ac:dyDescent="0.25">
      <c r="A41" s="24" t="s">
        <v>77</v>
      </c>
      <c r="B41" s="24" t="s">
        <v>9</v>
      </c>
      <c r="C41" s="24" t="s">
        <v>27</v>
      </c>
      <c r="D41" s="24" t="s">
        <v>33</v>
      </c>
      <c r="E41" s="24" t="s">
        <v>40</v>
      </c>
      <c r="F41" s="24">
        <v>705</v>
      </c>
      <c r="G41" s="24">
        <v>62.94</v>
      </c>
      <c r="H41" s="24" t="s">
        <v>37</v>
      </c>
      <c r="I41" s="25">
        <v>44938</v>
      </c>
    </row>
    <row r="42" spans="1:9" x14ac:dyDescent="0.25">
      <c r="A42" s="24" t="s">
        <v>78</v>
      </c>
      <c r="B42" s="24" t="s">
        <v>24</v>
      </c>
      <c r="C42" s="24" t="s">
        <v>18</v>
      </c>
      <c r="D42" s="24" t="s">
        <v>33</v>
      </c>
      <c r="E42" s="24" t="s">
        <v>19</v>
      </c>
      <c r="F42" s="24">
        <v>64</v>
      </c>
      <c r="G42" s="24">
        <v>4.96</v>
      </c>
      <c r="H42" s="24" t="s">
        <v>37</v>
      </c>
      <c r="I42" s="25">
        <v>44952</v>
      </c>
    </row>
    <row r="43" spans="1:9" x14ac:dyDescent="0.25">
      <c r="A43" s="24" t="s">
        <v>79</v>
      </c>
      <c r="B43" s="24" t="s">
        <v>23</v>
      </c>
      <c r="C43" s="24" t="s">
        <v>39</v>
      </c>
      <c r="D43" s="24" t="s">
        <v>33</v>
      </c>
      <c r="E43" s="24" t="s">
        <v>36</v>
      </c>
      <c r="F43" s="24">
        <v>1245</v>
      </c>
      <c r="G43" s="24">
        <v>95.14</v>
      </c>
      <c r="H43" s="24" t="s">
        <v>22</v>
      </c>
      <c r="I43" s="25">
        <v>44967</v>
      </c>
    </row>
    <row r="44" spans="1:9" x14ac:dyDescent="0.25">
      <c r="A44" s="24" t="s">
        <v>80</v>
      </c>
      <c r="B44" s="24" t="s">
        <v>24</v>
      </c>
      <c r="C44" s="24" t="s">
        <v>52</v>
      </c>
      <c r="D44" s="24" t="s">
        <v>33</v>
      </c>
      <c r="E44" s="24" t="s">
        <v>29</v>
      </c>
      <c r="F44" s="24" t="s">
        <v>81</v>
      </c>
      <c r="G44" s="24">
        <v>8.7100000000000009</v>
      </c>
      <c r="H44" s="24" t="s">
        <v>37</v>
      </c>
      <c r="I44" s="25">
        <v>44932</v>
      </c>
    </row>
    <row r="45" spans="1:9" x14ac:dyDescent="0.25">
      <c r="A45" s="24" t="s">
        <v>82</v>
      </c>
      <c r="B45" s="24" t="s">
        <v>17</v>
      </c>
      <c r="C45" s="24" t="s">
        <v>35</v>
      </c>
      <c r="D45" s="24" t="s">
        <v>19</v>
      </c>
      <c r="E45" s="24" t="s">
        <v>28</v>
      </c>
      <c r="F45" s="24">
        <v>1259</v>
      </c>
      <c r="G45" s="24">
        <v>87.59</v>
      </c>
      <c r="H45" s="24" t="s">
        <v>37</v>
      </c>
      <c r="I45" s="25">
        <v>44955</v>
      </c>
    </row>
    <row r="46" spans="1:9" x14ac:dyDescent="0.25">
      <c r="A46" s="24" t="s">
        <v>83</v>
      </c>
      <c r="B46" s="24" t="s">
        <v>13</v>
      </c>
      <c r="C46" s="24" t="s">
        <v>39</v>
      </c>
      <c r="D46" s="24" t="s">
        <v>40</v>
      </c>
      <c r="E46" s="24" t="s">
        <v>36</v>
      </c>
      <c r="F46" s="24">
        <v>1803</v>
      </c>
      <c r="G46" s="24">
        <v>211.34</v>
      </c>
      <c r="H46" s="24" t="s">
        <v>22</v>
      </c>
      <c r="I46" s="25">
        <v>44970</v>
      </c>
    </row>
    <row r="47" spans="1:9" x14ac:dyDescent="0.25">
      <c r="A47" s="24" t="s">
        <v>84</v>
      </c>
      <c r="B47" s="24" t="s">
        <v>17</v>
      </c>
      <c r="C47" s="24" t="s">
        <v>35</v>
      </c>
      <c r="D47" s="24" t="s">
        <v>36</v>
      </c>
      <c r="E47" s="24" t="s">
        <v>33</v>
      </c>
      <c r="F47" s="24">
        <v>1096</v>
      </c>
      <c r="G47" s="24">
        <v>100.52</v>
      </c>
      <c r="H47" s="24" t="s">
        <v>37</v>
      </c>
      <c r="I47" s="25">
        <v>44947</v>
      </c>
    </row>
    <row r="48" spans="1:9" x14ac:dyDescent="0.25">
      <c r="A48" s="24" t="s">
        <v>85</v>
      </c>
      <c r="B48" s="24" t="s">
        <v>23</v>
      </c>
      <c r="C48" s="24" t="s">
        <v>52</v>
      </c>
      <c r="D48" s="24" t="s">
        <v>33</v>
      </c>
      <c r="E48" s="24" t="s">
        <v>19</v>
      </c>
      <c r="F48" s="24">
        <v>572</v>
      </c>
      <c r="G48" s="24">
        <v>61.6</v>
      </c>
      <c r="H48" s="24" t="s">
        <v>22</v>
      </c>
      <c r="I48" s="25">
        <v>44948</v>
      </c>
    </row>
    <row r="49" spans="1:9" x14ac:dyDescent="0.25">
      <c r="A49" s="24" t="s">
        <v>86</v>
      </c>
      <c r="B49" s="24" t="s">
        <v>17</v>
      </c>
      <c r="C49" s="24" t="s">
        <v>18</v>
      </c>
      <c r="D49" s="24" t="s">
        <v>36</v>
      </c>
      <c r="E49" s="24" t="s">
        <v>29</v>
      </c>
      <c r="F49" s="24">
        <v>1441</v>
      </c>
      <c r="G49" s="24">
        <v>140.79</v>
      </c>
      <c r="H49" s="24" t="s">
        <v>37</v>
      </c>
      <c r="I49" s="25">
        <v>44985</v>
      </c>
    </row>
    <row r="50" spans="1:9" x14ac:dyDescent="0.25">
      <c r="A50" s="24" t="s">
        <v>87</v>
      </c>
      <c r="B50" s="24" t="s">
        <v>26</v>
      </c>
      <c r="C50" s="24" t="s">
        <v>48</v>
      </c>
      <c r="D50" s="24" t="s">
        <v>29</v>
      </c>
      <c r="E50" s="24" t="s">
        <v>28</v>
      </c>
      <c r="F50" s="24">
        <v>1685</v>
      </c>
      <c r="G50" s="24">
        <v>119.01</v>
      </c>
      <c r="H50" s="24" t="s">
        <v>37</v>
      </c>
      <c r="I50" s="25">
        <v>44973</v>
      </c>
    </row>
    <row r="51" spans="1:9" x14ac:dyDescent="0.25">
      <c r="A51" s="24" t="s">
        <v>88</v>
      </c>
      <c r="B51" s="24" t="s">
        <v>24</v>
      </c>
      <c r="C51" s="24" t="s">
        <v>39</v>
      </c>
      <c r="D51" s="24" t="s">
        <v>28</v>
      </c>
      <c r="E51" s="24" t="s">
        <v>19</v>
      </c>
      <c r="F51" s="24">
        <v>1233</v>
      </c>
      <c r="G51" s="24">
        <v>153.35</v>
      </c>
      <c r="H51" s="24" t="s">
        <v>22</v>
      </c>
      <c r="I51" s="25">
        <v>44938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>
      <selection activeCell="C27" sqref="C27"/>
    </sheetView>
  </sheetViews>
  <sheetFormatPr defaultColWidth="14.42578125" defaultRowHeight="15" customHeight="1" x14ac:dyDescent="0.25"/>
  <cols>
    <col min="1" max="1" width="12.7109375" customWidth="1"/>
    <col min="2" max="2" width="15.140625" customWidth="1"/>
    <col min="3" max="3" width="13.5703125" style="8" customWidth="1"/>
    <col min="4" max="4" width="24.7109375" style="5" customWidth="1"/>
    <col min="5" max="26" width="8.7109375" customWidth="1"/>
  </cols>
  <sheetData>
    <row r="1" spans="1:4" x14ac:dyDescent="0.25">
      <c r="A1" s="2" t="s">
        <v>0</v>
      </c>
      <c r="B1" s="2" t="s">
        <v>3</v>
      </c>
      <c r="C1" s="2" t="s">
        <v>5</v>
      </c>
      <c r="D1" s="3" t="s">
        <v>7</v>
      </c>
    </row>
    <row r="2" spans="1:4" x14ac:dyDescent="0.25">
      <c r="A2" s="1" t="s">
        <v>9</v>
      </c>
      <c r="B2" s="1" t="s">
        <v>11</v>
      </c>
      <c r="C2" s="7">
        <v>8424</v>
      </c>
      <c r="D2" s="4">
        <v>5633</v>
      </c>
    </row>
    <row r="3" spans="1:4" x14ac:dyDescent="0.25">
      <c r="A3" s="1" t="s">
        <v>13</v>
      </c>
      <c r="B3" s="1" t="s">
        <v>14</v>
      </c>
      <c r="C3" s="7">
        <v>1970</v>
      </c>
      <c r="D3" s="4">
        <v>6776</v>
      </c>
    </row>
    <row r="4" spans="1:4" x14ac:dyDescent="0.25">
      <c r="A4" s="1" t="s">
        <v>16</v>
      </c>
      <c r="B4" s="1" t="s">
        <v>14</v>
      </c>
      <c r="C4" s="7">
        <v>1207</v>
      </c>
      <c r="D4" s="4">
        <v>18031</v>
      </c>
    </row>
    <row r="5" spans="1:4" x14ac:dyDescent="0.25">
      <c r="A5" s="1" t="s">
        <v>17</v>
      </c>
      <c r="B5" s="1" t="s">
        <v>21</v>
      </c>
      <c r="C5" s="7">
        <v>8803</v>
      </c>
      <c r="D5" s="4">
        <v>9033</v>
      </c>
    </row>
    <row r="6" spans="1:4" x14ac:dyDescent="0.25">
      <c r="A6" s="1" t="s">
        <v>23</v>
      </c>
      <c r="B6" s="1" t="s">
        <v>14</v>
      </c>
      <c r="C6" s="7">
        <v>9941</v>
      </c>
      <c r="D6" s="4">
        <v>17751</v>
      </c>
    </row>
    <row r="7" spans="1:4" x14ac:dyDescent="0.25">
      <c r="A7" s="1" t="s">
        <v>24</v>
      </c>
      <c r="B7" s="1" t="s">
        <v>11</v>
      </c>
      <c r="C7" s="7">
        <v>6053</v>
      </c>
      <c r="D7" s="4">
        <v>5914</v>
      </c>
    </row>
    <row r="8" spans="1:4" x14ac:dyDescent="0.25">
      <c r="A8" s="1" t="s">
        <v>26</v>
      </c>
      <c r="B8" s="1" t="s">
        <v>11</v>
      </c>
      <c r="C8" s="7">
        <v>2598</v>
      </c>
      <c r="D8" s="4">
        <v>12837</v>
      </c>
    </row>
    <row r="10" spans="1:4" ht="15" customHeight="1" x14ac:dyDescent="0.25">
      <c r="D10" s="5">
        <f>SUM(D2:D9)</f>
        <v>75975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4"/>
  <sheetViews>
    <sheetView tabSelected="1" workbookViewId="0">
      <pane ySplit="1" topLeftCell="A2" activePane="bottomLeft" state="frozen"/>
      <selection pane="bottomLeft" activeCell="G78" sqref="G78"/>
    </sheetView>
  </sheetViews>
  <sheetFormatPr defaultColWidth="14.42578125" defaultRowHeight="15" customHeight="1" x14ac:dyDescent="0.25"/>
  <cols>
    <col min="1" max="1" width="10.85546875" style="12" customWidth="1"/>
    <col min="2" max="2" width="13.7109375" style="12" customWidth="1"/>
    <col min="3" max="3" width="12.85546875" style="12" customWidth="1"/>
    <col min="4" max="4" width="11" style="12" bestFit="1" customWidth="1"/>
    <col min="5" max="5" width="13.85546875" style="12" customWidth="1"/>
    <col min="6" max="6" width="19.140625" style="12" bestFit="1" customWidth="1"/>
    <col min="7" max="7" width="15.42578125" style="13" customWidth="1"/>
    <col min="8" max="8" width="21" style="17" customWidth="1"/>
    <col min="9" max="9" width="16.85546875" style="22" customWidth="1"/>
    <col min="10" max="10" width="55.5703125" style="22" customWidth="1"/>
    <col min="11" max="11" width="18" style="14" customWidth="1"/>
    <col min="12" max="12" width="17" style="14" customWidth="1"/>
    <col min="13" max="13" width="17" style="20" customWidth="1"/>
    <col min="14" max="14" width="20.85546875" style="20" customWidth="1"/>
    <col min="15" max="16" width="19" style="15" customWidth="1"/>
    <col min="17" max="33" width="8.7109375" style="12" customWidth="1"/>
    <col min="34" max="16384" width="14.42578125" style="12"/>
  </cols>
  <sheetData>
    <row r="1" spans="1:16" ht="50.25" customHeight="1" x14ac:dyDescent="0.25">
      <c r="A1" s="65" t="s">
        <v>1</v>
      </c>
      <c r="B1" s="65" t="s">
        <v>0</v>
      </c>
      <c r="C1" s="65" t="s">
        <v>2</v>
      </c>
      <c r="D1" s="65" t="s">
        <v>4</v>
      </c>
      <c r="E1" s="65" t="s">
        <v>6</v>
      </c>
      <c r="F1" s="65" t="s">
        <v>103</v>
      </c>
      <c r="G1" s="65" t="s">
        <v>8</v>
      </c>
      <c r="H1" s="66" t="s">
        <v>10</v>
      </c>
      <c r="I1" s="67" t="s">
        <v>102</v>
      </c>
      <c r="J1" s="67" t="s">
        <v>104</v>
      </c>
      <c r="K1" s="65" t="s">
        <v>12</v>
      </c>
      <c r="L1" s="65" t="s">
        <v>101</v>
      </c>
      <c r="M1" s="68" t="s">
        <v>5</v>
      </c>
      <c r="N1" s="68" t="s">
        <v>7</v>
      </c>
      <c r="O1" s="69" t="s">
        <v>15</v>
      </c>
      <c r="P1" s="11"/>
    </row>
    <row r="2" spans="1:16" x14ac:dyDescent="0.25">
      <c r="A2" s="38" t="s">
        <v>89</v>
      </c>
      <c r="B2" s="39" t="s">
        <v>17</v>
      </c>
      <c r="C2" s="39" t="s">
        <v>18</v>
      </c>
      <c r="D2" s="39" t="s">
        <v>19</v>
      </c>
      <c r="E2" s="39" t="s">
        <v>20</v>
      </c>
      <c r="F2" s="39" t="str">
        <f>_xlfn.CONCAT(Trip_Data_worksheet!$D2," - ",Trip_Data_worksheet!$E2)</f>
        <v>Delhi - Pune</v>
      </c>
      <c r="G2" s="40">
        <v>1173</v>
      </c>
      <c r="H2" s="41">
        <v>108.42</v>
      </c>
      <c r="I2" s="42">
        <f>Trip_Data_worksheet!$G2/Trip_Data_worksheet!$H2</f>
        <v>10.819037078029883</v>
      </c>
      <c r="J2" s="43">
        <f>Trip_Data_worksheet!$H2*100</f>
        <v>10842</v>
      </c>
      <c r="K2" s="44" t="s">
        <v>22</v>
      </c>
      <c r="L2" s="44" t="str" cm="1">
        <f t="array" ref="L2">_xlfn.XLOOKUP(Trip_Data_worksheet!$B2,Table2[[#All],[Vehicle_ID]],Table2[[#All],[Vehicle_Type]],0)</f>
        <v>Mini-Truck</v>
      </c>
      <c r="M2" s="45" cm="1">
        <f t="array" ref="M2">_xlfn.XLOOKUP(Trip_Data_worksheet!$B2,Table2[[#All],[Vehicle_ID]],Table2[[#All],[Capacity_kg]],0)</f>
        <v>8803</v>
      </c>
      <c r="N2" s="45" cm="1">
        <f t="array" ref="N2">_xlfn.XLOOKUP(Trip_Data_worksheet!$B2,Table2[[#All],[Vehicle_ID]],Table2[[#All],[Maintenance_Cost]],0)</f>
        <v>9033</v>
      </c>
      <c r="O2" s="46">
        <v>44953</v>
      </c>
    </row>
    <row r="3" spans="1:16" x14ac:dyDescent="0.25">
      <c r="A3" s="47" t="s">
        <v>90</v>
      </c>
      <c r="B3" s="48" t="s">
        <v>24</v>
      </c>
      <c r="C3" s="48" t="s">
        <v>27</v>
      </c>
      <c r="D3" s="48" t="s">
        <v>28</v>
      </c>
      <c r="E3" s="48" t="s">
        <v>29</v>
      </c>
      <c r="F3" s="48" t="str">
        <f>_xlfn.CONCAT(Trip_Data_worksheet!$D3," - ",Trip_Data_worksheet!$E3)</f>
        <v>Mumbai - Bangalore</v>
      </c>
      <c r="G3" s="49">
        <v>1727</v>
      </c>
      <c r="H3" s="50">
        <v>161.33000000000001</v>
      </c>
      <c r="I3" s="51">
        <f>Trip_Data_worksheet!$G3/Trip_Data_worksheet!$H3</f>
        <v>10.704766627409656</v>
      </c>
      <c r="J3" s="52">
        <f>Trip_Data_worksheet!$H3*100</f>
        <v>16133.000000000002</v>
      </c>
      <c r="K3" s="53" t="s">
        <v>22</v>
      </c>
      <c r="L3" s="53" t="str" cm="1">
        <f t="array" ref="L3">_xlfn.XLOOKUP(Trip_Data_worksheet!$B3,Table2[[#All],[Vehicle_ID]],Table2[[#All],[Vehicle_Type]],0)</f>
        <v>Van</v>
      </c>
      <c r="M3" s="54" cm="1">
        <f t="array" ref="M3">_xlfn.XLOOKUP(Trip_Data_worksheet!$B3,Table2[[#All],[Vehicle_ID]],Table2[[#All],[Capacity_kg]],0)</f>
        <v>6053</v>
      </c>
      <c r="N3" s="54" cm="1">
        <f t="array" ref="N3">_xlfn.XLOOKUP(Trip_Data_worksheet!$B3,Table2[[#All],[Vehicle_ID]],Table2[[#All],[Maintenance_Cost]],0)</f>
        <v>5914</v>
      </c>
      <c r="O3" s="55">
        <v>44978</v>
      </c>
    </row>
    <row r="4" spans="1:16" x14ac:dyDescent="0.25">
      <c r="A4" s="56" t="s">
        <v>91</v>
      </c>
      <c r="B4" s="57" t="s">
        <v>24</v>
      </c>
      <c r="C4" s="57" t="s">
        <v>27</v>
      </c>
      <c r="D4" s="57" t="s">
        <v>28</v>
      </c>
      <c r="E4" s="57" t="s">
        <v>20</v>
      </c>
      <c r="F4" s="57" t="str">
        <f>_xlfn.CONCAT(Trip_Data_worksheet!$D4," - ",Trip_Data_worksheet!$E4)</f>
        <v>Mumbai - Pune</v>
      </c>
      <c r="G4" s="58">
        <v>1459</v>
      </c>
      <c r="H4" s="59">
        <v>154.69999999999999</v>
      </c>
      <c r="I4" s="60">
        <f>Trip_Data_worksheet!$G4/Trip_Data_worksheet!$H4</f>
        <v>9.431157078215902</v>
      </c>
      <c r="J4" s="61">
        <f>Trip_Data_worksheet!$H4*100</f>
        <v>15469.999999999998</v>
      </c>
      <c r="K4" s="62" t="s">
        <v>22</v>
      </c>
      <c r="L4" s="62" t="str" cm="1">
        <f t="array" ref="L4">_xlfn.XLOOKUP(Trip_Data_worksheet!$B4,Table2[[#All],[Vehicle_ID]],Table2[[#All],[Vehicle_Type]],0)</f>
        <v>Van</v>
      </c>
      <c r="M4" s="63" cm="1">
        <f t="array" ref="M4">_xlfn.XLOOKUP(Trip_Data_worksheet!$B4,Table2[[#All],[Vehicle_ID]],Table2[[#All],[Capacity_kg]],0)</f>
        <v>6053</v>
      </c>
      <c r="N4" s="63" cm="1">
        <f t="array" ref="N4">_xlfn.XLOOKUP(Trip_Data_worksheet!$B4,Table2[[#All],[Vehicle_ID]],Table2[[#All],[Maintenance_Cost]],0)</f>
        <v>5914</v>
      </c>
      <c r="O4" s="64">
        <v>44974</v>
      </c>
    </row>
    <row r="5" spans="1:16" x14ac:dyDescent="0.25">
      <c r="A5" s="47" t="s">
        <v>92</v>
      </c>
      <c r="B5" s="48" t="s">
        <v>17</v>
      </c>
      <c r="C5" s="48" t="s">
        <v>32</v>
      </c>
      <c r="D5" s="48" t="s">
        <v>33</v>
      </c>
      <c r="E5" s="48" t="s">
        <v>20</v>
      </c>
      <c r="F5" s="48" t="str">
        <f>_xlfn.CONCAT(Trip_Data_worksheet!$D5," - ",Trip_Data_worksheet!$E5)</f>
        <v>Hyderabad - Pune</v>
      </c>
      <c r="G5" s="49">
        <v>382</v>
      </c>
      <c r="H5" s="50">
        <v>26.6</v>
      </c>
      <c r="I5" s="51">
        <f>Trip_Data_worksheet!$G5/Trip_Data_worksheet!$H5</f>
        <v>14.360902255639097</v>
      </c>
      <c r="J5" s="52">
        <f>Trip_Data_worksheet!$H5*100</f>
        <v>2660</v>
      </c>
      <c r="K5" s="53" t="s">
        <v>22</v>
      </c>
      <c r="L5" s="53" t="str" cm="1">
        <f t="array" ref="L5">_xlfn.XLOOKUP(Trip_Data_worksheet!$B5,Table2[[#All],[Vehicle_ID]],Table2[[#All],[Vehicle_Type]],0)</f>
        <v>Mini-Truck</v>
      </c>
      <c r="M5" s="54" cm="1">
        <f t="array" ref="M5">_xlfn.XLOOKUP(Trip_Data_worksheet!$B5,Table2[[#All],[Vehicle_ID]],Table2[[#All],[Capacity_kg]],0)</f>
        <v>8803</v>
      </c>
      <c r="N5" s="54" cm="1">
        <f t="array" ref="N5">_xlfn.XLOOKUP(Trip_Data_worksheet!$B5,Table2[[#All],[Vehicle_ID]],Table2[[#All],[Maintenance_Cost]],0)</f>
        <v>9033</v>
      </c>
      <c r="O5" s="55">
        <v>44975</v>
      </c>
    </row>
    <row r="6" spans="1:16" x14ac:dyDescent="0.25">
      <c r="A6" s="56" t="s">
        <v>93</v>
      </c>
      <c r="B6" s="57" t="s">
        <v>24</v>
      </c>
      <c r="C6" s="57" t="s">
        <v>27</v>
      </c>
      <c r="D6" s="57" t="s">
        <v>20</v>
      </c>
      <c r="E6" s="57" t="s">
        <v>28</v>
      </c>
      <c r="F6" s="57" t="str">
        <f>_xlfn.CONCAT(Trip_Data_worksheet!$D6," - ",Trip_Data_worksheet!$E6)</f>
        <v>Pune - Mumbai</v>
      </c>
      <c r="G6" s="58">
        <v>398</v>
      </c>
      <c r="H6" s="59">
        <v>33.200000000000003</v>
      </c>
      <c r="I6" s="60">
        <f>Trip_Data_worksheet!$G6/Trip_Data_worksheet!$H6</f>
        <v>11.987951807228916</v>
      </c>
      <c r="J6" s="61">
        <f>Trip_Data_worksheet!$H6*100</f>
        <v>3320.0000000000005</v>
      </c>
      <c r="K6" s="62" t="s">
        <v>22</v>
      </c>
      <c r="L6" s="62" t="str" cm="1">
        <f t="array" ref="L6">_xlfn.XLOOKUP(Trip_Data_worksheet!$B6,Table2[[#All],[Vehicle_ID]],Table2[[#All],[Vehicle_Type]],0)</f>
        <v>Van</v>
      </c>
      <c r="M6" s="63" cm="1">
        <f t="array" ref="M6">_xlfn.XLOOKUP(Trip_Data_worksheet!$B6,Table2[[#All],[Vehicle_ID]],Table2[[#All],[Capacity_kg]],0)</f>
        <v>6053</v>
      </c>
      <c r="N6" s="63" cm="1">
        <f t="array" ref="N6">_xlfn.XLOOKUP(Trip_Data_worksheet!$B6,Table2[[#All],[Vehicle_ID]],Table2[[#All],[Maintenance_Cost]],0)</f>
        <v>5914</v>
      </c>
      <c r="O6" s="64">
        <v>44972</v>
      </c>
    </row>
    <row r="7" spans="1:16" x14ac:dyDescent="0.25">
      <c r="A7" s="47" t="s">
        <v>94</v>
      </c>
      <c r="B7" s="48" t="s">
        <v>24</v>
      </c>
      <c r="C7" s="48" t="s">
        <v>35</v>
      </c>
      <c r="D7" s="48" t="s">
        <v>36</v>
      </c>
      <c r="E7" s="48" t="s">
        <v>28</v>
      </c>
      <c r="F7" s="48" t="str">
        <f>_xlfn.CONCAT(Trip_Data_worksheet!$D7," - ",Trip_Data_worksheet!$E7)</f>
        <v>Chennai - Mumbai</v>
      </c>
      <c r="G7" s="49">
        <v>1275</v>
      </c>
      <c r="H7" s="50">
        <v>85.04</v>
      </c>
      <c r="I7" s="51">
        <f>Trip_Data_worksheet!$G7/Trip_Data_worksheet!$H7</f>
        <v>14.99294449670743</v>
      </c>
      <c r="J7" s="52">
        <f>Trip_Data_worksheet!$H7*100</f>
        <v>8504</v>
      </c>
      <c r="K7" s="53" t="s">
        <v>37</v>
      </c>
      <c r="L7" s="53" t="str" cm="1">
        <f t="array" ref="L7">_xlfn.XLOOKUP(Trip_Data_worksheet!$B7,Table2[[#All],[Vehicle_ID]],Table2[[#All],[Vehicle_Type]],0)</f>
        <v>Van</v>
      </c>
      <c r="M7" s="54" cm="1">
        <f t="array" ref="M7">_xlfn.XLOOKUP(Trip_Data_worksheet!$B7,Table2[[#All],[Vehicle_ID]],Table2[[#All],[Capacity_kg]],0)</f>
        <v>6053</v>
      </c>
      <c r="N7" s="54" cm="1">
        <f t="array" ref="N7">_xlfn.XLOOKUP(Trip_Data_worksheet!$B7,Table2[[#All],[Vehicle_ID]],Table2[[#All],[Maintenance_Cost]],0)</f>
        <v>5914</v>
      </c>
      <c r="O7" s="55">
        <v>44982</v>
      </c>
    </row>
    <row r="8" spans="1:16" x14ac:dyDescent="0.25">
      <c r="A8" s="56" t="s">
        <v>95</v>
      </c>
      <c r="B8" s="57" t="s">
        <v>26</v>
      </c>
      <c r="C8" s="57" t="s">
        <v>39</v>
      </c>
      <c r="D8" s="57" t="s">
        <v>36</v>
      </c>
      <c r="E8" s="57" t="s">
        <v>40</v>
      </c>
      <c r="F8" s="57" t="str">
        <f>_xlfn.CONCAT(Trip_Data_worksheet!$D8," - ",Trip_Data_worksheet!$E8)</f>
        <v>Chennai - Kolkata</v>
      </c>
      <c r="G8" s="58">
        <v>752</v>
      </c>
      <c r="H8" s="59">
        <v>58.08</v>
      </c>
      <c r="I8" s="60">
        <f>Trip_Data_worksheet!$G8/Trip_Data_worksheet!$H8</f>
        <v>12.947658402203857</v>
      </c>
      <c r="J8" s="61">
        <f>Trip_Data_worksheet!$H8*100</f>
        <v>5808</v>
      </c>
      <c r="K8" s="62" t="s">
        <v>22</v>
      </c>
      <c r="L8" s="62" t="str" cm="1">
        <f t="array" ref="L8">_xlfn.XLOOKUP(Trip_Data_worksheet!$B8,Table2[[#All],[Vehicle_ID]],Table2[[#All],[Vehicle_Type]],0)</f>
        <v>Van</v>
      </c>
      <c r="M8" s="63" cm="1">
        <f t="array" ref="M8">_xlfn.XLOOKUP(Trip_Data_worksheet!$B8,Table2[[#All],[Vehicle_ID]],Table2[[#All],[Capacity_kg]],0)</f>
        <v>2598</v>
      </c>
      <c r="N8" s="63" cm="1">
        <f t="array" ref="N8">_xlfn.XLOOKUP(Trip_Data_worksheet!$B8,Table2[[#All],[Vehicle_ID]],Table2[[#All],[Maintenance_Cost]],0)</f>
        <v>12837</v>
      </c>
      <c r="O8" s="64">
        <v>44945</v>
      </c>
    </row>
    <row r="9" spans="1:16" x14ac:dyDescent="0.25">
      <c r="A9" s="47" t="s">
        <v>96</v>
      </c>
      <c r="B9" s="48" t="s">
        <v>13</v>
      </c>
      <c r="C9" s="48" t="s">
        <v>42</v>
      </c>
      <c r="D9" s="48" t="s">
        <v>19</v>
      </c>
      <c r="E9" s="48" t="s">
        <v>20</v>
      </c>
      <c r="F9" s="48" t="str">
        <f>_xlfn.CONCAT(Trip_Data_worksheet!$D9," - ",Trip_Data_worksheet!$E9)</f>
        <v>Delhi - Pune</v>
      </c>
      <c r="G9" s="49">
        <v>74</v>
      </c>
      <c r="H9" s="50">
        <v>5.24</v>
      </c>
      <c r="I9" s="51">
        <f>Trip_Data_worksheet!$G9/Trip_Data_worksheet!$H9</f>
        <v>14.122137404580153</v>
      </c>
      <c r="J9" s="52">
        <f>Trip_Data_worksheet!$H9*100</f>
        <v>524</v>
      </c>
      <c r="K9" s="53" t="s">
        <v>22</v>
      </c>
      <c r="L9" s="53" t="str" cm="1">
        <f t="array" ref="L9">_xlfn.XLOOKUP(Trip_Data_worksheet!$B9,Table2[[#All],[Vehicle_ID]],Table2[[#All],[Vehicle_Type]],0)</f>
        <v>Truck</v>
      </c>
      <c r="M9" s="54" cm="1">
        <f t="array" ref="M9">_xlfn.XLOOKUP(Trip_Data_worksheet!$B9,Table2[[#All],[Vehicle_ID]],Table2[[#All],[Capacity_kg]],0)</f>
        <v>1970</v>
      </c>
      <c r="N9" s="54" cm="1">
        <f t="array" ref="N9">_xlfn.XLOOKUP(Trip_Data_worksheet!$B9,Table2[[#All],[Vehicle_ID]],Table2[[#All],[Maintenance_Cost]],0)</f>
        <v>6776</v>
      </c>
      <c r="O9" s="55">
        <v>44927</v>
      </c>
    </row>
    <row r="10" spans="1:16" x14ac:dyDescent="0.25">
      <c r="A10" s="56" t="s">
        <v>97</v>
      </c>
      <c r="B10" s="57" t="s">
        <v>13</v>
      </c>
      <c r="C10" s="57" t="s">
        <v>35</v>
      </c>
      <c r="D10" s="57" t="s">
        <v>19</v>
      </c>
      <c r="E10" s="57" t="s">
        <v>33</v>
      </c>
      <c r="F10" s="57" t="str">
        <f>_xlfn.CONCAT(Trip_Data_worksheet!$D10," - ",Trip_Data_worksheet!$E10)</f>
        <v>Delhi - Hyderabad</v>
      </c>
      <c r="G10" s="58">
        <v>186</v>
      </c>
      <c r="H10" s="59">
        <v>16.22</v>
      </c>
      <c r="I10" s="60">
        <f>Trip_Data_worksheet!$G10/Trip_Data_worksheet!$H10</f>
        <v>11.467324290998768</v>
      </c>
      <c r="J10" s="61">
        <f>Trip_Data_worksheet!$H10*100</f>
        <v>1622</v>
      </c>
      <c r="K10" s="62" t="s">
        <v>22</v>
      </c>
      <c r="L10" s="62" t="str" cm="1">
        <f t="array" ref="L10">_xlfn.XLOOKUP(Trip_Data_worksheet!$B10,Table2[[#All],[Vehicle_ID]],Table2[[#All],[Vehicle_Type]],0)</f>
        <v>Truck</v>
      </c>
      <c r="M10" s="63" cm="1">
        <f t="array" ref="M10">_xlfn.XLOOKUP(Trip_Data_worksheet!$B10,Table2[[#All],[Vehicle_ID]],Table2[[#All],[Capacity_kg]],0)</f>
        <v>1970</v>
      </c>
      <c r="N10" s="63" cm="1">
        <f t="array" ref="N10">_xlfn.XLOOKUP(Trip_Data_worksheet!$B10,Table2[[#All],[Vehicle_ID]],Table2[[#All],[Maintenance_Cost]],0)</f>
        <v>6776</v>
      </c>
      <c r="O10" s="64">
        <v>44980</v>
      </c>
    </row>
    <row r="11" spans="1:16" x14ac:dyDescent="0.25">
      <c r="A11" s="47" t="s">
        <v>98</v>
      </c>
      <c r="B11" s="48" t="s">
        <v>13</v>
      </c>
      <c r="C11" s="48" t="s">
        <v>44</v>
      </c>
      <c r="D11" s="48" t="s">
        <v>29</v>
      </c>
      <c r="E11" s="48" t="s">
        <v>33</v>
      </c>
      <c r="F11" s="48" t="str">
        <f>_xlfn.CONCAT(Trip_Data_worksheet!$D11," - ",Trip_Data_worksheet!$E11)</f>
        <v>Bangalore - Hyderabad</v>
      </c>
      <c r="G11" s="49">
        <v>1375</v>
      </c>
      <c r="H11" s="50">
        <v>105.21</v>
      </c>
      <c r="I11" s="51">
        <f>Trip_Data_worksheet!$G11/Trip_Data_worksheet!$H11</f>
        <v>13.069099895447202</v>
      </c>
      <c r="J11" s="52">
        <f>Trip_Data_worksheet!$H11*100</f>
        <v>10521</v>
      </c>
      <c r="K11" s="53" t="s">
        <v>37</v>
      </c>
      <c r="L11" s="53" t="str" cm="1">
        <f t="array" ref="L11">_xlfn.XLOOKUP(Trip_Data_worksheet!$B11,Table2[[#All],[Vehicle_ID]],Table2[[#All],[Vehicle_Type]],0)</f>
        <v>Truck</v>
      </c>
      <c r="M11" s="54" cm="1">
        <f t="array" ref="M11">_xlfn.XLOOKUP(Trip_Data_worksheet!$B11,Table2[[#All],[Vehicle_ID]],Table2[[#All],[Capacity_kg]],0)</f>
        <v>1970</v>
      </c>
      <c r="N11" s="54" cm="1">
        <f t="array" ref="N11">_xlfn.XLOOKUP(Trip_Data_worksheet!$B11,Table2[[#All],[Vehicle_ID]],Table2[[#All],[Maintenance_Cost]],0)</f>
        <v>6776</v>
      </c>
      <c r="O11" s="55">
        <v>44959</v>
      </c>
    </row>
    <row r="12" spans="1:16" x14ac:dyDescent="0.25">
      <c r="A12" s="56" t="s">
        <v>99</v>
      </c>
      <c r="B12" s="57" t="s">
        <v>24</v>
      </c>
      <c r="C12" s="57" t="s">
        <v>39</v>
      </c>
      <c r="D12" s="57" t="s">
        <v>40</v>
      </c>
      <c r="E12" s="57" t="s">
        <v>33</v>
      </c>
      <c r="F12" s="57" t="str">
        <f>_xlfn.CONCAT(Trip_Data_worksheet!$D12," - ",Trip_Data_worksheet!$E12)</f>
        <v>Kolkata - Hyderabad</v>
      </c>
      <c r="G12" s="58">
        <v>419</v>
      </c>
      <c r="H12" s="59">
        <v>31.17</v>
      </c>
      <c r="I12" s="60">
        <f>Trip_Data_worksheet!$G12/Trip_Data_worksheet!$H12</f>
        <v>13.442412576195059</v>
      </c>
      <c r="J12" s="61">
        <f>Trip_Data_worksheet!$H12*100</f>
        <v>3117</v>
      </c>
      <c r="K12" s="62" t="s">
        <v>22</v>
      </c>
      <c r="L12" s="62" t="str" cm="1">
        <f t="array" ref="L12">_xlfn.XLOOKUP(Trip_Data_worksheet!$B12,Table2[[#All],[Vehicle_ID]],Table2[[#All],[Vehicle_Type]],0)</f>
        <v>Van</v>
      </c>
      <c r="M12" s="63" cm="1">
        <f t="array" ref="M12">_xlfn.XLOOKUP(Trip_Data_worksheet!$B12,Table2[[#All],[Vehicle_ID]],Table2[[#All],[Capacity_kg]],0)</f>
        <v>6053</v>
      </c>
      <c r="N12" s="63" cm="1">
        <f t="array" ref="N12">_xlfn.XLOOKUP(Trip_Data_worksheet!$B12,Table2[[#All],[Vehicle_ID]],Table2[[#All],[Maintenance_Cost]],0)</f>
        <v>5914</v>
      </c>
      <c r="O12" s="64">
        <v>44947</v>
      </c>
    </row>
    <row r="13" spans="1:16" x14ac:dyDescent="0.25">
      <c r="A13" s="47" t="s">
        <v>100</v>
      </c>
      <c r="B13" s="48" t="s">
        <v>24</v>
      </c>
      <c r="C13" s="48" t="s">
        <v>18</v>
      </c>
      <c r="D13" s="48" t="s">
        <v>40</v>
      </c>
      <c r="E13" s="48" t="s">
        <v>19</v>
      </c>
      <c r="F13" s="48" t="str">
        <f>_xlfn.CONCAT(Trip_Data_worksheet!$D13," - ",Trip_Data_worksheet!$E13)</f>
        <v>Kolkata - Delhi</v>
      </c>
      <c r="G13" s="49">
        <v>751</v>
      </c>
      <c r="H13" s="50">
        <v>51.77</v>
      </c>
      <c r="I13" s="51">
        <f>Trip_Data_worksheet!$G13/Trip_Data_worksheet!$H13</f>
        <v>14.506470929109522</v>
      </c>
      <c r="J13" s="52">
        <f>Trip_Data_worksheet!$H13*100</f>
        <v>5177</v>
      </c>
      <c r="K13" s="53" t="s">
        <v>22</v>
      </c>
      <c r="L13" s="53" t="str" cm="1">
        <f t="array" ref="L13">_xlfn.XLOOKUP(Trip_Data_worksheet!$B13,Table2[[#All],[Vehicle_ID]],Table2[[#All],[Vehicle_Type]],0)</f>
        <v>Van</v>
      </c>
      <c r="M13" s="54" cm="1">
        <f t="array" ref="M13">_xlfn.XLOOKUP(Trip_Data_worksheet!$B13,Table2[[#All],[Vehicle_ID]],Table2[[#All],[Capacity_kg]],0)</f>
        <v>6053</v>
      </c>
      <c r="N13" s="54" cm="1">
        <f t="array" ref="N13">_xlfn.XLOOKUP(Trip_Data_worksheet!$B13,Table2[[#All],[Vehicle_ID]],Table2[[#All],[Maintenance_Cost]],0)</f>
        <v>5914</v>
      </c>
      <c r="O13" s="55">
        <v>44972</v>
      </c>
    </row>
    <row r="14" spans="1:16" x14ac:dyDescent="0.25">
      <c r="A14" s="56" t="s">
        <v>47</v>
      </c>
      <c r="B14" s="57" t="s">
        <v>23</v>
      </c>
      <c r="C14" s="57" t="s">
        <v>48</v>
      </c>
      <c r="D14" s="57" t="s">
        <v>40</v>
      </c>
      <c r="E14" s="57" t="s">
        <v>36</v>
      </c>
      <c r="F14" s="57" t="str">
        <f>_xlfn.CONCAT(Trip_Data_worksheet!$D14," - ",Trip_Data_worksheet!$E14)</f>
        <v>Kolkata - Chennai</v>
      </c>
      <c r="G14" s="58">
        <v>1571</v>
      </c>
      <c r="H14" s="59">
        <v>188.52</v>
      </c>
      <c r="I14" s="60">
        <f>Trip_Data_worksheet!$G14/Trip_Data_worksheet!$H14</f>
        <v>8.3333333333333321</v>
      </c>
      <c r="J14" s="61">
        <f>Trip_Data_worksheet!$H14*100</f>
        <v>18852</v>
      </c>
      <c r="K14" s="62" t="s">
        <v>37</v>
      </c>
      <c r="L14" s="62" t="str" cm="1">
        <f t="array" ref="L14">_xlfn.XLOOKUP(Trip_Data_worksheet!$B14,Table2[[#All],[Vehicle_ID]],Table2[[#All],[Vehicle_Type]],0)</f>
        <v>Truck</v>
      </c>
      <c r="M14" s="63" cm="1">
        <f t="array" ref="M14">_xlfn.XLOOKUP(Trip_Data_worksheet!$B14,Table2[[#All],[Vehicle_ID]],Table2[[#All],[Capacity_kg]],0)</f>
        <v>9941</v>
      </c>
      <c r="N14" s="63" cm="1">
        <f t="array" ref="N14">_xlfn.XLOOKUP(Trip_Data_worksheet!$B14,Table2[[#All],[Vehicle_ID]],Table2[[#All],[Maintenance_Cost]],0)</f>
        <v>17751</v>
      </c>
      <c r="O14" s="64">
        <v>44959</v>
      </c>
    </row>
    <row r="15" spans="1:16" x14ac:dyDescent="0.25">
      <c r="A15" s="47" t="s">
        <v>49</v>
      </c>
      <c r="B15" s="48" t="s">
        <v>23</v>
      </c>
      <c r="C15" s="48" t="s">
        <v>50</v>
      </c>
      <c r="D15" s="48" t="s">
        <v>33</v>
      </c>
      <c r="E15" s="48" t="s">
        <v>29</v>
      </c>
      <c r="F15" s="48" t="str">
        <f>_xlfn.CONCAT(Trip_Data_worksheet!$D15," - ",Trip_Data_worksheet!$E15)</f>
        <v>Hyderabad - Bangalore</v>
      </c>
      <c r="G15" s="49">
        <v>1524</v>
      </c>
      <c r="H15" s="50">
        <v>104.51</v>
      </c>
      <c r="I15" s="51">
        <f>Trip_Data_worksheet!$G15/Trip_Data_worksheet!$H15</f>
        <v>14.582336618505405</v>
      </c>
      <c r="J15" s="52">
        <f>Trip_Data_worksheet!$H15*100</f>
        <v>10451</v>
      </c>
      <c r="K15" s="53" t="s">
        <v>22</v>
      </c>
      <c r="L15" s="53" t="str" cm="1">
        <f t="array" ref="L15">_xlfn.XLOOKUP(Trip_Data_worksheet!$B15,Table2[[#All],[Vehicle_ID]],Table2[[#All],[Vehicle_Type]],0)</f>
        <v>Truck</v>
      </c>
      <c r="M15" s="54" cm="1">
        <f t="array" ref="M15">_xlfn.XLOOKUP(Trip_Data_worksheet!$B15,Table2[[#All],[Vehicle_ID]],Table2[[#All],[Capacity_kg]],0)</f>
        <v>9941</v>
      </c>
      <c r="N15" s="54" cm="1">
        <f t="array" ref="N15">_xlfn.XLOOKUP(Trip_Data_worksheet!$B15,Table2[[#All],[Vehicle_ID]],Table2[[#All],[Maintenance_Cost]],0)</f>
        <v>17751</v>
      </c>
      <c r="O15" s="55">
        <v>44973</v>
      </c>
    </row>
    <row r="16" spans="1:16" x14ac:dyDescent="0.25">
      <c r="A16" s="56" t="s">
        <v>51</v>
      </c>
      <c r="B16" s="57" t="s">
        <v>23</v>
      </c>
      <c r="C16" s="57" t="s">
        <v>52</v>
      </c>
      <c r="D16" s="57" t="s">
        <v>40</v>
      </c>
      <c r="E16" s="57" t="s">
        <v>28</v>
      </c>
      <c r="F16" s="57" t="str">
        <f>_xlfn.CONCAT(Trip_Data_worksheet!$D16," - ",Trip_Data_worksheet!$E16)</f>
        <v>Kolkata - Mumbai</v>
      </c>
      <c r="G16" s="58">
        <v>1956</v>
      </c>
      <c r="H16" s="59">
        <v>179.88</v>
      </c>
      <c r="I16" s="60">
        <f>Trip_Data_worksheet!$G16/Trip_Data_worksheet!$H16</f>
        <v>10.873915943962642</v>
      </c>
      <c r="J16" s="61">
        <f>Trip_Data_worksheet!$H16*100</f>
        <v>17988</v>
      </c>
      <c r="K16" s="62" t="s">
        <v>22</v>
      </c>
      <c r="L16" s="62" t="str" cm="1">
        <f t="array" ref="L16">_xlfn.XLOOKUP(Trip_Data_worksheet!$B16,Table2[[#All],[Vehicle_ID]],Table2[[#All],[Vehicle_Type]],0)</f>
        <v>Truck</v>
      </c>
      <c r="M16" s="63" cm="1">
        <f t="array" ref="M16">_xlfn.XLOOKUP(Trip_Data_worksheet!$B16,Table2[[#All],[Vehicle_ID]],Table2[[#All],[Capacity_kg]],0)</f>
        <v>9941</v>
      </c>
      <c r="N16" s="63" cm="1">
        <f t="array" ref="N16">_xlfn.XLOOKUP(Trip_Data_worksheet!$B16,Table2[[#All],[Vehicle_ID]],Table2[[#All],[Maintenance_Cost]],0)</f>
        <v>17751</v>
      </c>
      <c r="O16" s="64">
        <v>44947</v>
      </c>
    </row>
    <row r="17" spans="1:15" x14ac:dyDescent="0.25">
      <c r="A17" s="47" t="s">
        <v>53</v>
      </c>
      <c r="B17" s="48" t="s">
        <v>23</v>
      </c>
      <c r="C17" s="48" t="s">
        <v>52</v>
      </c>
      <c r="D17" s="48" t="s">
        <v>29</v>
      </c>
      <c r="E17" s="48" t="s">
        <v>28</v>
      </c>
      <c r="F17" s="48" t="str">
        <f>_xlfn.CONCAT(Trip_Data_worksheet!$D17," - ",Trip_Data_worksheet!$E17)</f>
        <v>Bangalore - Mumbai</v>
      </c>
      <c r="G17" s="49">
        <v>858</v>
      </c>
      <c r="H17" s="50">
        <v>92.7</v>
      </c>
      <c r="I17" s="51">
        <f>Trip_Data_worksheet!$G17/Trip_Data_worksheet!$H17</f>
        <v>9.2556634304207108</v>
      </c>
      <c r="J17" s="52">
        <f>Trip_Data_worksheet!$H17*100</f>
        <v>9270</v>
      </c>
      <c r="K17" s="53" t="s">
        <v>37</v>
      </c>
      <c r="L17" s="53" t="str" cm="1">
        <f t="array" ref="L17">_xlfn.XLOOKUP(Trip_Data_worksheet!$B17,Table2[[#All],[Vehicle_ID]],Table2[[#All],[Vehicle_Type]],0)</f>
        <v>Truck</v>
      </c>
      <c r="M17" s="54" cm="1">
        <f t="array" ref="M17">_xlfn.XLOOKUP(Trip_Data_worksheet!$B17,Table2[[#All],[Vehicle_ID]],Table2[[#All],[Capacity_kg]],0)</f>
        <v>9941</v>
      </c>
      <c r="N17" s="54" cm="1">
        <f t="array" ref="N17">_xlfn.XLOOKUP(Trip_Data_worksheet!$B17,Table2[[#All],[Vehicle_ID]],Table2[[#All],[Maintenance_Cost]],0)</f>
        <v>17751</v>
      </c>
      <c r="O17" s="55">
        <v>44944</v>
      </c>
    </row>
    <row r="18" spans="1:15" x14ac:dyDescent="0.25">
      <c r="A18" s="56" t="s">
        <v>54</v>
      </c>
      <c r="B18" s="57" t="s">
        <v>26</v>
      </c>
      <c r="C18" s="57" t="s">
        <v>35</v>
      </c>
      <c r="D18" s="57" t="s">
        <v>20</v>
      </c>
      <c r="E18" s="57" t="s">
        <v>40</v>
      </c>
      <c r="F18" s="57" t="str">
        <f>_xlfn.CONCAT(Trip_Data_worksheet!$D18," - ",Trip_Data_worksheet!$E18)</f>
        <v>Pune - Kolkata</v>
      </c>
      <c r="G18" s="58">
        <v>1269</v>
      </c>
      <c r="H18" s="59">
        <v>102.91</v>
      </c>
      <c r="I18" s="60">
        <f>Trip_Data_worksheet!$G18/Trip_Data_worksheet!$H18</f>
        <v>12.331163152268973</v>
      </c>
      <c r="J18" s="61">
        <f>Trip_Data_worksheet!$H18*100</f>
        <v>10291</v>
      </c>
      <c r="K18" s="62" t="s">
        <v>22</v>
      </c>
      <c r="L18" s="62" t="str" cm="1">
        <f t="array" ref="L18">_xlfn.XLOOKUP(Trip_Data_worksheet!$B18,Table2[[#All],[Vehicle_ID]],Table2[[#All],[Vehicle_Type]],0)</f>
        <v>Van</v>
      </c>
      <c r="M18" s="63" cm="1">
        <f t="array" ref="M18">_xlfn.XLOOKUP(Trip_Data_worksheet!$B18,Table2[[#All],[Vehicle_ID]],Table2[[#All],[Capacity_kg]],0)</f>
        <v>2598</v>
      </c>
      <c r="N18" s="63" cm="1">
        <f t="array" ref="N18">_xlfn.XLOOKUP(Trip_Data_worksheet!$B18,Table2[[#All],[Vehicle_ID]],Table2[[#All],[Maintenance_Cost]],0)</f>
        <v>12837</v>
      </c>
      <c r="O18" s="64">
        <v>44942</v>
      </c>
    </row>
    <row r="19" spans="1:15" x14ac:dyDescent="0.25">
      <c r="A19" s="47" t="s">
        <v>55</v>
      </c>
      <c r="B19" s="48" t="s">
        <v>26</v>
      </c>
      <c r="C19" s="48" t="s">
        <v>42</v>
      </c>
      <c r="D19" s="48" t="s">
        <v>20</v>
      </c>
      <c r="E19" s="48" t="s">
        <v>19</v>
      </c>
      <c r="F19" s="48" t="str">
        <f>_xlfn.CONCAT(Trip_Data_worksheet!$D19," - ",Trip_Data_worksheet!$E19)</f>
        <v>Pune - Delhi</v>
      </c>
      <c r="G19" s="49">
        <v>1565</v>
      </c>
      <c r="H19" s="50">
        <v>107.23</v>
      </c>
      <c r="I19" s="51">
        <f>Trip_Data_worksheet!$G19/Trip_Data_worksheet!$H19</f>
        <v>14.59479623239765</v>
      </c>
      <c r="J19" s="52">
        <f>Trip_Data_worksheet!$H19*100</f>
        <v>10723</v>
      </c>
      <c r="K19" s="53" t="s">
        <v>22</v>
      </c>
      <c r="L19" s="53" t="str" cm="1">
        <f t="array" ref="L19">_xlfn.XLOOKUP(Trip_Data_worksheet!$B19,Table2[[#All],[Vehicle_ID]],Table2[[#All],[Vehicle_Type]],0)</f>
        <v>Van</v>
      </c>
      <c r="M19" s="54" cm="1">
        <f t="array" ref="M19">_xlfn.XLOOKUP(Trip_Data_worksheet!$B19,Table2[[#All],[Vehicle_ID]],Table2[[#All],[Capacity_kg]],0)</f>
        <v>2598</v>
      </c>
      <c r="N19" s="54" cm="1">
        <f t="array" ref="N19">_xlfn.XLOOKUP(Trip_Data_worksheet!$B19,Table2[[#All],[Vehicle_ID]],Table2[[#All],[Maintenance_Cost]],0)</f>
        <v>12837</v>
      </c>
      <c r="O19" s="55">
        <v>44969</v>
      </c>
    </row>
    <row r="20" spans="1:15" x14ac:dyDescent="0.25">
      <c r="A20" s="56" t="s">
        <v>56</v>
      </c>
      <c r="B20" s="57" t="s">
        <v>26</v>
      </c>
      <c r="C20" s="57" t="s">
        <v>42</v>
      </c>
      <c r="D20" s="57" t="s">
        <v>33</v>
      </c>
      <c r="E20" s="57" t="s">
        <v>20</v>
      </c>
      <c r="F20" s="57" t="str">
        <f>_xlfn.CONCAT(Trip_Data_worksheet!$D20," - ",Trip_Data_worksheet!$E20)</f>
        <v>Hyderabad - Pune</v>
      </c>
      <c r="G20" s="58">
        <v>1796</v>
      </c>
      <c r="H20" s="59">
        <v>155.52000000000001</v>
      </c>
      <c r="I20" s="60">
        <f>Trip_Data_worksheet!$G20/Trip_Data_worksheet!$H20</f>
        <v>11.548353909465019</v>
      </c>
      <c r="J20" s="61">
        <f>Trip_Data_worksheet!$H20*100</f>
        <v>15552.000000000002</v>
      </c>
      <c r="K20" s="62" t="s">
        <v>22</v>
      </c>
      <c r="L20" s="62" t="str" cm="1">
        <f t="array" ref="L20">_xlfn.XLOOKUP(Trip_Data_worksheet!$B20,Table2[[#All],[Vehicle_ID]],Table2[[#All],[Vehicle_Type]],0)</f>
        <v>Van</v>
      </c>
      <c r="M20" s="63" cm="1">
        <f t="array" ref="M20">_xlfn.XLOOKUP(Trip_Data_worksheet!$B20,Table2[[#All],[Vehicle_ID]],Table2[[#All],[Capacity_kg]],0)</f>
        <v>2598</v>
      </c>
      <c r="N20" s="63" cm="1">
        <f t="array" ref="N20">_xlfn.XLOOKUP(Trip_Data_worksheet!$B20,Table2[[#All],[Vehicle_ID]],Table2[[#All],[Maintenance_Cost]],0)</f>
        <v>12837</v>
      </c>
      <c r="O20" s="64">
        <v>44985</v>
      </c>
    </row>
    <row r="21" spans="1:15" ht="15.75" customHeight="1" x14ac:dyDescent="0.25">
      <c r="A21" s="47" t="s">
        <v>57</v>
      </c>
      <c r="B21" s="48" t="s">
        <v>17</v>
      </c>
      <c r="C21" s="48" t="s">
        <v>44</v>
      </c>
      <c r="D21" s="48" t="s">
        <v>28</v>
      </c>
      <c r="E21" s="48" t="s">
        <v>29</v>
      </c>
      <c r="F21" s="48" t="str">
        <f>_xlfn.CONCAT(Trip_Data_worksheet!$D21," - ",Trip_Data_worksheet!$E21)</f>
        <v>Mumbai - Bangalore</v>
      </c>
      <c r="G21" s="49">
        <v>1640</v>
      </c>
      <c r="H21" s="50">
        <v>148.87</v>
      </c>
      <c r="I21" s="51">
        <f>Trip_Data_worksheet!$G21/Trip_Data_worksheet!$H21</f>
        <v>11.016322966346477</v>
      </c>
      <c r="J21" s="52">
        <f>Trip_Data_worksheet!$H21*100</f>
        <v>14887</v>
      </c>
      <c r="K21" s="53" t="s">
        <v>22</v>
      </c>
      <c r="L21" s="53" t="str" cm="1">
        <f t="array" ref="L21">_xlfn.XLOOKUP(Trip_Data_worksheet!$B21,Table2[[#All],[Vehicle_ID]],Table2[[#All],[Vehicle_Type]],0)</f>
        <v>Mini-Truck</v>
      </c>
      <c r="M21" s="54" cm="1">
        <f t="array" ref="M21">_xlfn.XLOOKUP(Trip_Data_worksheet!$B21,Table2[[#All],[Vehicle_ID]],Table2[[#All],[Capacity_kg]],0)</f>
        <v>8803</v>
      </c>
      <c r="N21" s="54" cm="1">
        <f t="array" ref="N21">_xlfn.XLOOKUP(Trip_Data_worksheet!$B21,Table2[[#All],[Vehicle_ID]],Table2[[#All],[Maintenance_Cost]],0)</f>
        <v>9033</v>
      </c>
      <c r="O21" s="55">
        <v>44932</v>
      </c>
    </row>
    <row r="22" spans="1:15" ht="15.75" customHeight="1" x14ac:dyDescent="0.25">
      <c r="A22" s="56" t="s">
        <v>58</v>
      </c>
      <c r="B22" s="57" t="s">
        <v>26</v>
      </c>
      <c r="C22" s="57" t="s">
        <v>35</v>
      </c>
      <c r="D22" s="57" t="s">
        <v>19</v>
      </c>
      <c r="E22" s="57" t="s">
        <v>28</v>
      </c>
      <c r="F22" s="57" t="str">
        <f>_xlfn.CONCAT(Trip_Data_worksheet!$D22," - ",Trip_Data_worksheet!$E22)</f>
        <v>Delhi - Mumbai</v>
      </c>
      <c r="G22" s="58">
        <v>446</v>
      </c>
      <c r="H22" s="59">
        <v>31.98</v>
      </c>
      <c r="I22" s="60">
        <f>Trip_Data_worksheet!$G22/Trip_Data_worksheet!$H22</f>
        <v>13.946216385240776</v>
      </c>
      <c r="J22" s="61">
        <f>Trip_Data_worksheet!$H22*100</f>
        <v>3198</v>
      </c>
      <c r="K22" s="62" t="s">
        <v>37</v>
      </c>
      <c r="L22" s="62" t="str" cm="1">
        <f t="array" ref="L22">_xlfn.XLOOKUP(Trip_Data_worksheet!$B22,Table2[[#All],[Vehicle_ID]],Table2[[#All],[Vehicle_Type]],0)</f>
        <v>Van</v>
      </c>
      <c r="M22" s="63" cm="1">
        <f t="array" ref="M22">_xlfn.XLOOKUP(Trip_Data_worksheet!$B22,Table2[[#All],[Vehicle_ID]],Table2[[#All],[Capacity_kg]],0)</f>
        <v>2598</v>
      </c>
      <c r="N22" s="63" cm="1">
        <f t="array" ref="N22">_xlfn.XLOOKUP(Trip_Data_worksheet!$B22,Table2[[#All],[Vehicle_ID]],Table2[[#All],[Maintenance_Cost]],0)</f>
        <v>12837</v>
      </c>
      <c r="O22" s="64">
        <v>44937</v>
      </c>
    </row>
    <row r="23" spans="1:15" ht="15.75" customHeight="1" x14ac:dyDescent="0.25">
      <c r="A23" s="47" t="s">
        <v>59</v>
      </c>
      <c r="B23" s="48" t="s">
        <v>26</v>
      </c>
      <c r="C23" s="48" t="s">
        <v>32</v>
      </c>
      <c r="D23" s="48" t="s">
        <v>33</v>
      </c>
      <c r="E23" s="48" t="s">
        <v>19</v>
      </c>
      <c r="F23" s="48" t="str">
        <f>_xlfn.CONCAT(Trip_Data_worksheet!$D23," - ",Trip_Data_worksheet!$E23)</f>
        <v>Hyderabad - Delhi</v>
      </c>
      <c r="G23" s="49">
        <v>140</v>
      </c>
      <c r="H23" s="50">
        <v>11.44</v>
      </c>
      <c r="I23" s="51">
        <f>Trip_Data_worksheet!$G23/Trip_Data_worksheet!$H23</f>
        <v>12.237762237762238</v>
      </c>
      <c r="J23" s="52">
        <f>Trip_Data_worksheet!$H23*100</f>
        <v>1144</v>
      </c>
      <c r="K23" s="53" t="s">
        <v>22</v>
      </c>
      <c r="L23" s="53" t="str" cm="1">
        <f t="array" ref="L23">_xlfn.XLOOKUP(Trip_Data_worksheet!$B23,Table2[[#All],[Vehicle_ID]],Table2[[#All],[Vehicle_Type]],0)</f>
        <v>Van</v>
      </c>
      <c r="M23" s="54" cm="1">
        <f t="array" ref="M23">_xlfn.XLOOKUP(Trip_Data_worksheet!$B23,Table2[[#All],[Vehicle_ID]],Table2[[#All],[Capacity_kg]],0)</f>
        <v>2598</v>
      </c>
      <c r="N23" s="54" cm="1">
        <f t="array" ref="N23">_xlfn.XLOOKUP(Trip_Data_worksheet!$B23,Table2[[#All],[Vehicle_ID]],Table2[[#All],[Maintenance_Cost]],0)</f>
        <v>12837</v>
      </c>
      <c r="O23" s="55">
        <v>44964</v>
      </c>
    </row>
    <row r="24" spans="1:15" ht="15.75" customHeight="1" x14ac:dyDescent="0.25">
      <c r="A24" s="56" t="s">
        <v>60</v>
      </c>
      <c r="B24" s="57" t="s">
        <v>24</v>
      </c>
      <c r="C24" s="57" t="s">
        <v>48</v>
      </c>
      <c r="D24" s="57" t="s">
        <v>36</v>
      </c>
      <c r="E24" s="57" t="s">
        <v>19</v>
      </c>
      <c r="F24" s="57" t="str">
        <f>_xlfn.CONCAT(Trip_Data_worksheet!$D24," - ",Trip_Data_worksheet!$E24)</f>
        <v>Chennai - Delhi</v>
      </c>
      <c r="G24" s="58">
        <v>1729</v>
      </c>
      <c r="H24" s="59">
        <v>197.55</v>
      </c>
      <c r="I24" s="60">
        <f>Trip_Data_worksheet!$G24/Trip_Data_worksheet!$H24</f>
        <v>8.7522146292077956</v>
      </c>
      <c r="J24" s="61">
        <f>Trip_Data_worksheet!$H24*100</f>
        <v>19755</v>
      </c>
      <c r="K24" s="62" t="s">
        <v>22</v>
      </c>
      <c r="L24" s="62" t="str" cm="1">
        <f t="array" ref="L24">_xlfn.XLOOKUP(Trip_Data_worksheet!$B24,Table2[[#All],[Vehicle_ID]],Table2[[#All],[Vehicle_Type]],0)</f>
        <v>Van</v>
      </c>
      <c r="M24" s="63" cm="1">
        <f t="array" ref="M24">_xlfn.XLOOKUP(Trip_Data_worksheet!$B24,Table2[[#All],[Vehicle_ID]],Table2[[#All],[Capacity_kg]],0)</f>
        <v>6053</v>
      </c>
      <c r="N24" s="63" cm="1">
        <f t="array" ref="N24">_xlfn.XLOOKUP(Trip_Data_worksheet!$B24,Table2[[#All],[Vehicle_ID]],Table2[[#All],[Maintenance_Cost]],0)</f>
        <v>5914</v>
      </c>
      <c r="O24" s="64">
        <v>44963</v>
      </c>
    </row>
    <row r="25" spans="1:15" ht="15.75" customHeight="1" x14ac:dyDescent="0.25">
      <c r="A25" s="47" t="s">
        <v>61</v>
      </c>
      <c r="B25" s="48" t="s">
        <v>17</v>
      </c>
      <c r="C25" s="48" t="s">
        <v>18</v>
      </c>
      <c r="D25" s="48" t="s">
        <v>40</v>
      </c>
      <c r="E25" s="48" t="s">
        <v>28</v>
      </c>
      <c r="F25" s="48" t="str">
        <f>_xlfn.CONCAT(Trip_Data_worksheet!$D25," - ",Trip_Data_worksheet!$E25)</f>
        <v>Kolkata - Mumbai</v>
      </c>
      <c r="G25" s="49">
        <v>1376</v>
      </c>
      <c r="H25" s="50">
        <v>96.63</v>
      </c>
      <c r="I25" s="51">
        <f>Trip_Data_worksheet!$G25/Trip_Data_worksheet!$H25</f>
        <v>14.239884093966678</v>
      </c>
      <c r="J25" s="52">
        <f>Trip_Data_worksheet!$H25*100</f>
        <v>9663</v>
      </c>
      <c r="K25" s="53" t="s">
        <v>22</v>
      </c>
      <c r="L25" s="53" t="str" cm="1">
        <f t="array" ref="L25">_xlfn.XLOOKUP(Trip_Data_worksheet!$B25,Table2[[#All],[Vehicle_ID]],Table2[[#All],[Vehicle_Type]],0)</f>
        <v>Mini-Truck</v>
      </c>
      <c r="M25" s="54" cm="1">
        <f t="array" ref="M25">_xlfn.XLOOKUP(Trip_Data_worksheet!$B25,Table2[[#All],[Vehicle_ID]],Table2[[#All],[Capacity_kg]],0)</f>
        <v>8803</v>
      </c>
      <c r="N25" s="54" cm="1">
        <f t="array" ref="N25">_xlfn.XLOOKUP(Trip_Data_worksheet!$B25,Table2[[#All],[Vehicle_ID]],Table2[[#All],[Maintenance_Cost]],0)</f>
        <v>9033</v>
      </c>
      <c r="O25" s="55">
        <v>44971</v>
      </c>
    </row>
    <row r="26" spans="1:15" ht="15.75" customHeight="1" x14ac:dyDescent="0.25">
      <c r="A26" s="56" t="s">
        <v>62</v>
      </c>
      <c r="B26" s="57" t="s">
        <v>17</v>
      </c>
      <c r="C26" s="57" t="s">
        <v>44</v>
      </c>
      <c r="D26" s="57" t="s">
        <v>29</v>
      </c>
      <c r="E26" s="57" t="s">
        <v>36</v>
      </c>
      <c r="F26" s="57" t="str">
        <f>_xlfn.CONCAT(Trip_Data_worksheet!$D26," - ",Trip_Data_worksheet!$E26)</f>
        <v>Bangalore - Chennai</v>
      </c>
      <c r="G26" s="58">
        <v>1721</v>
      </c>
      <c r="H26" s="59">
        <v>120.65</v>
      </c>
      <c r="I26" s="60">
        <f>Trip_Data_worksheet!$G26/Trip_Data_worksheet!$H26</f>
        <v>14.264401160381267</v>
      </c>
      <c r="J26" s="61">
        <f>Trip_Data_worksheet!$H26*100</f>
        <v>12065</v>
      </c>
      <c r="K26" s="62" t="s">
        <v>37</v>
      </c>
      <c r="L26" s="62" t="str" cm="1">
        <f t="array" ref="L26">_xlfn.XLOOKUP(Trip_Data_worksheet!$B26,Table2[[#All],[Vehicle_ID]],Table2[[#All],[Vehicle_Type]],0)</f>
        <v>Mini-Truck</v>
      </c>
      <c r="M26" s="63" cm="1">
        <f t="array" ref="M26">_xlfn.XLOOKUP(Trip_Data_worksheet!$B26,Table2[[#All],[Vehicle_ID]],Table2[[#All],[Capacity_kg]],0)</f>
        <v>8803</v>
      </c>
      <c r="N26" s="63" cm="1">
        <f t="array" ref="N26">_xlfn.XLOOKUP(Trip_Data_worksheet!$B26,Table2[[#All],[Vehicle_ID]],Table2[[#All],[Maintenance_Cost]],0)</f>
        <v>9033</v>
      </c>
      <c r="O26" s="64">
        <v>44963</v>
      </c>
    </row>
    <row r="27" spans="1:15" ht="15.75" customHeight="1" x14ac:dyDescent="0.25">
      <c r="A27" s="47" t="s">
        <v>63</v>
      </c>
      <c r="B27" s="48" t="s">
        <v>23</v>
      </c>
      <c r="C27" s="48" t="s">
        <v>48</v>
      </c>
      <c r="D27" s="48" t="s">
        <v>36</v>
      </c>
      <c r="E27" s="48" t="s">
        <v>20</v>
      </c>
      <c r="F27" s="48" t="str">
        <f>_xlfn.CONCAT(Trip_Data_worksheet!$D27," - ",Trip_Data_worksheet!$E27)</f>
        <v>Chennai - Pune</v>
      </c>
      <c r="G27" s="49">
        <v>1784</v>
      </c>
      <c r="H27" s="50">
        <v>131.01</v>
      </c>
      <c r="I27" s="51">
        <f>Trip_Data_worksheet!$G27/Trip_Data_worksheet!$H27</f>
        <v>13.617281123578353</v>
      </c>
      <c r="J27" s="52">
        <f>Trip_Data_worksheet!$H27*100</f>
        <v>13101</v>
      </c>
      <c r="K27" s="53" t="s">
        <v>37</v>
      </c>
      <c r="L27" s="53" t="str" cm="1">
        <f t="array" ref="L27">_xlfn.XLOOKUP(Trip_Data_worksheet!$B27,Table2[[#All],[Vehicle_ID]],Table2[[#All],[Vehicle_Type]],0)</f>
        <v>Truck</v>
      </c>
      <c r="M27" s="54" cm="1">
        <f t="array" ref="M27">_xlfn.XLOOKUP(Trip_Data_worksheet!$B27,Table2[[#All],[Vehicle_ID]],Table2[[#All],[Capacity_kg]],0)</f>
        <v>9941</v>
      </c>
      <c r="N27" s="54" cm="1">
        <f t="array" ref="N27">_xlfn.XLOOKUP(Trip_Data_worksheet!$B27,Table2[[#All],[Vehicle_ID]],Table2[[#All],[Maintenance_Cost]],0)</f>
        <v>17751</v>
      </c>
      <c r="O27" s="55">
        <v>44943</v>
      </c>
    </row>
    <row r="28" spans="1:15" ht="15.75" customHeight="1" x14ac:dyDescent="0.25">
      <c r="A28" s="56" t="s">
        <v>64</v>
      </c>
      <c r="B28" s="57" t="s">
        <v>24</v>
      </c>
      <c r="C28" s="57" t="s">
        <v>35</v>
      </c>
      <c r="D28" s="57" t="s">
        <v>20</v>
      </c>
      <c r="E28" s="57" t="s">
        <v>40</v>
      </c>
      <c r="F28" s="57" t="str">
        <f>_xlfn.CONCAT(Trip_Data_worksheet!$D28," - ",Trip_Data_worksheet!$E28)</f>
        <v>Pune - Kolkata</v>
      </c>
      <c r="G28" s="58">
        <v>1007</v>
      </c>
      <c r="H28" s="59">
        <v>116.6</v>
      </c>
      <c r="I28" s="60">
        <f>Trip_Data_worksheet!$G28/Trip_Data_worksheet!$H28</f>
        <v>8.6363636363636367</v>
      </c>
      <c r="J28" s="61">
        <f>Trip_Data_worksheet!$H28*100</f>
        <v>11660</v>
      </c>
      <c r="K28" s="62" t="s">
        <v>37</v>
      </c>
      <c r="L28" s="62" t="str" cm="1">
        <f t="array" ref="L28">_xlfn.XLOOKUP(Trip_Data_worksheet!$B28,Table2[[#All],[Vehicle_ID]],Table2[[#All],[Vehicle_Type]],0)</f>
        <v>Van</v>
      </c>
      <c r="M28" s="63" cm="1">
        <f t="array" ref="M28">_xlfn.XLOOKUP(Trip_Data_worksheet!$B28,Table2[[#All],[Vehicle_ID]],Table2[[#All],[Capacity_kg]],0)</f>
        <v>6053</v>
      </c>
      <c r="N28" s="63" cm="1">
        <f t="array" ref="N28">_xlfn.XLOOKUP(Trip_Data_worksheet!$B28,Table2[[#All],[Vehicle_ID]],Table2[[#All],[Maintenance_Cost]],0)</f>
        <v>5914</v>
      </c>
      <c r="O28" s="64">
        <v>44974</v>
      </c>
    </row>
    <row r="29" spans="1:15" ht="15.75" customHeight="1" x14ac:dyDescent="0.25">
      <c r="A29" s="47" t="s">
        <v>65</v>
      </c>
      <c r="B29" s="48" t="s">
        <v>23</v>
      </c>
      <c r="C29" s="48" t="s">
        <v>52</v>
      </c>
      <c r="D29" s="48" t="s">
        <v>20</v>
      </c>
      <c r="E29" s="48" t="s">
        <v>29</v>
      </c>
      <c r="F29" s="48" t="str">
        <f>_xlfn.CONCAT(Trip_Data_worksheet!$D29," - ",Trip_Data_worksheet!$E29)</f>
        <v>Pune - Bangalore</v>
      </c>
      <c r="G29" s="49">
        <v>1903</v>
      </c>
      <c r="H29" s="50">
        <v>151.18</v>
      </c>
      <c r="I29" s="51">
        <f>Trip_Data_worksheet!$G29/Trip_Data_worksheet!$H29</f>
        <v>12.587643868236539</v>
      </c>
      <c r="J29" s="52">
        <f>Trip_Data_worksheet!$H29*100</f>
        <v>15118</v>
      </c>
      <c r="K29" s="53" t="s">
        <v>37</v>
      </c>
      <c r="L29" s="53" t="str" cm="1">
        <f t="array" ref="L29">_xlfn.XLOOKUP(Trip_Data_worksheet!$B29,Table2[[#All],[Vehicle_ID]],Table2[[#All],[Vehicle_Type]],0)</f>
        <v>Truck</v>
      </c>
      <c r="M29" s="54" cm="1">
        <f t="array" ref="M29">_xlfn.XLOOKUP(Trip_Data_worksheet!$B29,Table2[[#All],[Vehicle_ID]],Table2[[#All],[Capacity_kg]],0)</f>
        <v>9941</v>
      </c>
      <c r="N29" s="54" cm="1">
        <f t="array" ref="N29">_xlfn.XLOOKUP(Trip_Data_worksheet!$B29,Table2[[#All],[Vehicle_ID]],Table2[[#All],[Maintenance_Cost]],0)</f>
        <v>17751</v>
      </c>
      <c r="O29" s="55">
        <v>44977</v>
      </c>
    </row>
    <row r="30" spans="1:15" ht="15.75" customHeight="1" x14ac:dyDescent="0.25">
      <c r="A30" s="56" t="s">
        <v>66</v>
      </c>
      <c r="B30" s="57" t="s">
        <v>9</v>
      </c>
      <c r="C30" s="57" t="s">
        <v>52</v>
      </c>
      <c r="D30" s="57" t="s">
        <v>28</v>
      </c>
      <c r="E30" s="57" t="s">
        <v>29</v>
      </c>
      <c r="F30" s="57" t="str">
        <f>_xlfn.CONCAT(Trip_Data_worksheet!$D30," - ",Trip_Data_worksheet!$E30)</f>
        <v>Mumbai - Bangalore</v>
      </c>
      <c r="G30" s="58">
        <v>1262</v>
      </c>
      <c r="H30" s="59">
        <v>100.72</v>
      </c>
      <c r="I30" s="60">
        <f>Trip_Data_worksheet!$G30/Trip_Data_worksheet!$H30</f>
        <v>12.529785544082605</v>
      </c>
      <c r="J30" s="61">
        <f>Trip_Data_worksheet!$H30*100</f>
        <v>10072</v>
      </c>
      <c r="K30" s="62" t="s">
        <v>22</v>
      </c>
      <c r="L30" s="62" t="str" cm="1">
        <f t="array" ref="L30">_xlfn.XLOOKUP(Trip_Data_worksheet!$B30,Table2[[#All],[Vehicle_ID]],Table2[[#All],[Vehicle_Type]],0)</f>
        <v>Van</v>
      </c>
      <c r="M30" s="63" cm="1">
        <f t="array" ref="M30">_xlfn.XLOOKUP(Trip_Data_worksheet!$B30,Table2[[#All],[Vehicle_ID]],Table2[[#All],[Capacity_kg]],0)</f>
        <v>8424</v>
      </c>
      <c r="N30" s="63" cm="1">
        <f t="array" ref="N30">_xlfn.XLOOKUP(Trip_Data_worksheet!$B30,Table2[[#All],[Vehicle_ID]],Table2[[#All],[Maintenance_Cost]],0)</f>
        <v>5633</v>
      </c>
      <c r="O30" s="64">
        <v>44954</v>
      </c>
    </row>
    <row r="31" spans="1:15" ht="15.75" customHeight="1" x14ac:dyDescent="0.25">
      <c r="A31" s="47" t="s">
        <v>67</v>
      </c>
      <c r="B31" s="48" t="s">
        <v>13</v>
      </c>
      <c r="C31" s="48" t="s">
        <v>32</v>
      </c>
      <c r="D31" s="48" t="s">
        <v>40</v>
      </c>
      <c r="E31" s="48" t="s">
        <v>33</v>
      </c>
      <c r="F31" s="48" t="str">
        <f>_xlfn.CONCAT(Trip_Data_worksheet!$D31," - ",Trip_Data_worksheet!$E31)</f>
        <v>Kolkata - Hyderabad</v>
      </c>
      <c r="G31" s="49">
        <v>317</v>
      </c>
      <c r="H31" s="50">
        <v>28.83</v>
      </c>
      <c r="I31" s="51">
        <f>Trip_Data_worksheet!$G31/Trip_Data_worksheet!$H31</f>
        <v>10.995490808185918</v>
      </c>
      <c r="J31" s="52">
        <f>Trip_Data_worksheet!$H31*100</f>
        <v>2883</v>
      </c>
      <c r="K31" s="53" t="s">
        <v>22</v>
      </c>
      <c r="L31" s="53" t="str" cm="1">
        <f t="array" ref="L31">_xlfn.XLOOKUP(Trip_Data_worksheet!$B31,Table2[[#All],[Vehicle_ID]],Table2[[#All],[Vehicle_Type]],0)</f>
        <v>Truck</v>
      </c>
      <c r="M31" s="54" cm="1">
        <f t="array" ref="M31">_xlfn.XLOOKUP(Trip_Data_worksheet!$B31,Table2[[#All],[Vehicle_ID]],Table2[[#All],[Capacity_kg]],0)</f>
        <v>1970</v>
      </c>
      <c r="N31" s="54" cm="1">
        <f t="array" ref="N31">_xlfn.XLOOKUP(Trip_Data_worksheet!$B31,Table2[[#All],[Vehicle_ID]],Table2[[#All],[Maintenance_Cost]],0)</f>
        <v>6776</v>
      </c>
      <c r="O31" s="55">
        <v>44985</v>
      </c>
    </row>
    <row r="32" spans="1:15" ht="15.75" customHeight="1" x14ac:dyDescent="0.25">
      <c r="A32" s="56" t="s">
        <v>68</v>
      </c>
      <c r="B32" s="57" t="s">
        <v>23</v>
      </c>
      <c r="C32" s="57" t="s">
        <v>48</v>
      </c>
      <c r="D32" s="57" t="s">
        <v>33</v>
      </c>
      <c r="E32" s="57" t="s">
        <v>19</v>
      </c>
      <c r="F32" s="57" t="str">
        <f>_xlfn.CONCAT(Trip_Data_worksheet!$D32," - ",Trip_Data_worksheet!$E32)</f>
        <v>Hyderabad - Delhi</v>
      </c>
      <c r="G32" s="58">
        <v>1188</v>
      </c>
      <c r="H32" s="59">
        <v>92.84</v>
      </c>
      <c r="I32" s="60">
        <f>Trip_Data_worksheet!$G32/Trip_Data_worksheet!$H32</f>
        <v>12.796208530805687</v>
      </c>
      <c r="J32" s="61">
        <f>Trip_Data_worksheet!$H32*100</f>
        <v>9284</v>
      </c>
      <c r="K32" s="62" t="s">
        <v>22</v>
      </c>
      <c r="L32" s="62" t="str" cm="1">
        <f t="array" ref="L32">_xlfn.XLOOKUP(Trip_Data_worksheet!$B32,Table2[[#All],[Vehicle_ID]],Table2[[#All],[Vehicle_Type]],0)</f>
        <v>Truck</v>
      </c>
      <c r="M32" s="63" cm="1">
        <f t="array" ref="M32">_xlfn.XLOOKUP(Trip_Data_worksheet!$B32,Table2[[#All],[Vehicle_ID]],Table2[[#All],[Capacity_kg]],0)</f>
        <v>9941</v>
      </c>
      <c r="N32" s="63" cm="1">
        <f t="array" ref="N32">_xlfn.XLOOKUP(Trip_Data_worksheet!$B32,Table2[[#All],[Vehicle_ID]],Table2[[#All],[Maintenance_Cost]],0)</f>
        <v>17751</v>
      </c>
      <c r="O32" s="64">
        <v>44960</v>
      </c>
    </row>
    <row r="33" spans="1:15" ht="15.75" customHeight="1" x14ac:dyDescent="0.25">
      <c r="A33" s="47" t="s">
        <v>69</v>
      </c>
      <c r="B33" s="48" t="s">
        <v>9</v>
      </c>
      <c r="C33" s="48" t="s">
        <v>42</v>
      </c>
      <c r="D33" s="48" t="s">
        <v>33</v>
      </c>
      <c r="E33" s="48" t="s">
        <v>40</v>
      </c>
      <c r="F33" s="48" t="str">
        <f>_xlfn.CONCAT(Trip_Data_worksheet!$D33," - ",Trip_Data_worksheet!$E33)</f>
        <v>Hyderabad - Kolkata</v>
      </c>
      <c r="G33" s="49">
        <v>398</v>
      </c>
      <c r="H33" s="50">
        <v>43.89</v>
      </c>
      <c r="I33" s="51">
        <f>Trip_Data_worksheet!$G33/Trip_Data_worksheet!$H33</f>
        <v>9.0681248575985425</v>
      </c>
      <c r="J33" s="52">
        <f>Trip_Data_worksheet!$H33*100</f>
        <v>4389</v>
      </c>
      <c r="K33" s="53" t="s">
        <v>37</v>
      </c>
      <c r="L33" s="53" t="str" cm="1">
        <f t="array" ref="L33">_xlfn.XLOOKUP(Trip_Data_worksheet!$B33,Table2[[#All],[Vehicle_ID]],Table2[[#All],[Vehicle_Type]],0)</f>
        <v>Van</v>
      </c>
      <c r="M33" s="54" cm="1">
        <f t="array" ref="M33">_xlfn.XLOOKUP(Trip_Data_worksheet!$B33,Table2[[#All],[Vehicle_ID]],Table2[[#All],[Capacity_kg]],0)</f>
        <v>8424</v>
      </c>
      <c r="N33" s="54" cm="1">
        <f t="array" ref="N33">_xlfn.XLOOKUP(Trip_Data_worksheet!$B33,Table2[[#All],[Vehicle_ID]],Table2[[#All],[Maintenance_Cost]],0)</f>
        <v>5633</v>
      </c>
      <c r="O33" s="55">
        <v>44962</v>
      </c>
    </row>
    <row r="34" spans="1:15" ht="15.75" customHeight="1" x14ac:dyDescent="0.25">
      <c r="A34" s="56" t="s">
        <v>70</v>
      </c>
      <c r="B34" s="57" t="s">
        <v>23</v>
      </c>
      <c r="C34" s="57" t="s">
        <v>32</v>
      </c>
      <c r="D34" s="57" t="s">
        <v>33</v>
      </c>
      <c r="E34" s="57" t="s">
        <v>36</v>
      </c>
      <c r="F34" s="57" t="str">
        <f>_xlfn.CONCAT(Trip_Data_worksheet!$D34," - ",Trip_Data_worksheet!$E34)</f>
        <v>Hyderabad - Chennai</v>
      </c>
      <c r="G34" s="58">
        <v>385</v>
      </c>
      <c r="H34" s="59">
        <v>31.03</v>
      </c>
      <c r="I34" s="60">
        <f>Trip_Data_worksheet!$G34/Trip_Data_worksheet!$H34</f>
        <v>12.407347728005156</v>
      </c>
      <c r="J34" s="61">
        <f>Trip_Data_worksheet!$H34*100</f>
        <v>3103</v>
      </c>
      <c r="K34" s="62" t="s">
        <v>37</v>
      </c>
      <c r="L34" s="62" t="str" cm="1">
        <f t="array" ref="L34">_xlfn.XLOOKUP(Trip_Data_worksheet!$B34,Table2[[#All],[Vehicle_ID]],Table2[[#All],[Vehicle_Type]],0)</f>
        <v>Truck</v>
      </c>
      <c r="M34" s="63" cm="1">
        <f t="array" ref="M34">_xlfn.XLOOKUP(Trip_Data_worksheet!$B34,Table2[[#All],[Vehicle_ID]],Table2[[#All],[Capacity_kg]],0)</f>
        <v>9941</v>
      </c>
      <c r="N34" s="63" cm="1">
        <f t="array" ref="N34">_xlfn.XLOOKUP(Trip_Data_worksheet!$B34,Table2[[#All],[Vehicle_ID]],Table2[[#All],[Maintenance_Cost]],0)</f>
        <v>17751</v>
      </c>
      <c r="O34" s="64">
        <v>44950</v>
      </c>
    </row>
    <row r="35" spans="1:15" ht="15.75" customHeight="1" x14ac:dyDescent="0.25">
      <c r="A35" s="47" t="s">
        <v>71</v>
      </c>
      <c r="B35" s="48" t="s">
        <v>13</v>
      </c>
      <c r="C35" s="48" t="s">
        <v>42</v>
      </c>
      <c r="D35" s="48" t="s">
        <v>19</v>
      </c>
      <c r="E35" s="48" t="s">
        <v>33</v>
      </c>
      <c r="F35" s="48" t="str">
        <f>_xlfn.CONCAT(Trip_Data_worksheet!$D35," - ",Trip_Data_worksheet!$E35)</f>
        <v>Delhi - Hyderabad</v>
      </c>
      <c r="G35" s="49">
        <v>818</v>
      </c>
      <c r="H35" s="50">
        <v>94.24</v>
      </c>
      <c r="I35" s="51">
        <f>Trip_Data_worksheet!$G35/Trip_Data_worksheet!$H35</f>
        <v>8.6799660441426152</v>
      </c>
      <c r="J35" s="52">
        <f>Trip_Data_worksheet!$H35*100</f>
        <v>9424</v>
      </c>
      <c r="K35" s="53" t="s">
        <v>37</v>
      </c>
      <c r="L35" s="53" t="str" cm="1">
        <f t="array" ref="L35">_xlfn.XLOOKUP(Trip_Data_worksheet!$B35,Table2[[#All],[Vehicle_ID]],Table2[[#All],[Vehicle_Type]],0)</f>
        <v>Truck</v>
      </c>
      <c r="M35" s="54" cm="1">
        <f t="array" ref="M35">_xlfn.XLOOKUP(Trip_Data_worksheet!$B35,Table2[[#All],[Vehicle_ID]],Table2[[#All],[Capacity_kg]],0)</f>
        <v>1970</v>
      </c>
      <c r="N35" s="54" cm="1">
        <f t="array" ref="N35">_xlfn.XLOOKUP(Trip_Data_worksheet!$B35,Table2[[#All],[Vehicle_ID]],Table2[[#All],[Maintenance_Cost]],0)</f>
        <v>6776</v>
      </c>
      <c r="O35" s="55">
        <v>44975</v>
      </c>
    </row>
    <row r="36" spans="1:15" ht="15.75" customHeight="1" x14ac:dyDescent="0.25">
      <c r="A36" s="56" t="s">
        <v>72</v>
      </c>
      <c r="B36" s="57" t="s">
        <v>17</v>
      </c>
      <c r="C36" s="57" t="s">
        <v>48</v>
      </c>
      <c r="D36" s="57" t="s">
        <v>19</v>
      </c>
      <c r="E36" s="57" t="s">
        <v>40</v>
      </c>
      <c r="F36" s="57" t="str">
        <f>_xlfn.CONCAT(Trip_Data_worksheet!$D36," - ",Trip_Data_worksheet!$E36)</f>
        <v>Delhi - Kolkata</v>
      </c>
      <c r="G36" s="58">
        <v>1806</v>
      </c>
      <c r="H36" s="59">
        <v>121.36</v>
      </c>
      <c r="I36" s="60">
        <f>Trip_Data_worksheet!$G36/Trip_Data_worksheet!$H36</f>
        <v>14.88134475939354</v>
      </c>
      <c r="J36" s="61">
        <f>Trip_Data_worksheet!$H36*100</f>
        <v>12136</v>
      </c>
      <c r="K36" s="62" t="s">
        <v>22</v>
      </c>
      <c r="L36" s="62" t="str" cm="1">
        <f t="array" ref="L36">_xlfn.XLOOKUP(Trip_Data_worksheet!$B36,Table2[[#All],[Vehicle_ID]],Table2[[#All],[Vehicle_Type]],0)</f>
        <v>Mini-Truck</v>
      </c>
      <c r="M36" s="63" cm="1">
        <f t="array" ref="M36">_xlfn.XLOOKUP(Trip_Data_worksheet!$B36,Table2[[#All],[Vehicle_ID]],Table2[[#All],[Capacity_kg]],0)</f>
        <v>8803</v>
      </c>
      <c r="N36" s="63" cm="1">
        <f t="array" ref="N36">_xlfn.XLOOKUP(Trip_Data_worksheet!$B36,Table2[[#All],[Vehicle_ID]],Table2[[#All],[Maintenance_Cost]],0)</f>
        <v>9033</v>
      </c>
      <c r="O36" s="64">
        <v>44967</v>
      </c>
    </row>
    <row r="37" spans="1:15" ht="15.75" customHeight="1" x14ac:dyDescent="0.25">
      <c r="A37" s="47" t="s">
        <v>73</v>
      </c>
      <c r="B37" s="48" t="s">
        <v>13</v>
      </c>
      <c r="C37" s="48" t="s">
        <v>42</v>
      </c>
      <c r="D37" s="48" t="s">
        <v>19</v>
      </c>
      <c r="E37" s="48" t="s">
        <v>20</v>
      </c>
      <c r="F37" s="48" t="str">
        <f>_xlfn.CONCAT(Trip_Data_worksheet!$D37," - ",Trip_Data_worksheet!$E37)</f>
        <v>Delhi - Pune</v>
      </c>
      <c r="G37" s="49">
        <v>424</v>
      </c>
      <c r="H37" s="50">
        <v>37.630000000000003</v>
      </c>
      <c r="I37" s="51">
        <f>Trip_Data_worksheet!$G37/Trip_Data_worksheet!$H37</f>
        <v>11.267605633802816</v>
      </c>
      <c r="J37" s="52">
        <f>Trip_Data_worksheet!$H37*100</f>
        <v>3763.0000000000005</v>
      </c>
      <c r="K37" s="53" t="s">
        <v>22</v>
      </c>
      <c r="L37" s="53" t="str" cm="1">
        <f t="array" ref="L37">_xlfn.XLOOKUP(Trip_Data_worksheet!$B37,Table2[[#All],[Vehicle_ID]],Table2[[#All],[Vehicle_Type]],0)</f>
        <v>Truck</v>
      </c>
      <c r="M37" s="54" cm="1">
        <f t="array" ref="M37">_xlfn.XLOOKUP(Trip_Data_worksheet!$B37,Table2[[#All],[Vehicle_ID]],Table2[[#All],[Capacity_kg]],0)</f>
        <v>1970</v>
      </c>
      <c r="N37" s="54" cm="1">
        <f t="array" ref="N37">_xlfn.XLOOKUP(Trip_Data_worksheet!$B37,Table2[[#All],[Vehicle_ID]],Table2[[#All],[Maintenance_Cost]],0)</f>
        <v>6776</v>
      </c>
      <c r="O37" s="55">
        <v>44975</v>
      </c>
    </row>
    <row r="38" spans="1:15" ht="15.75" customHeight="1" x14ac:dyDescent="0.25">
      <c r="A38" s="56" t="s">
        <v>74</v>
      </c>
      <c r="B38" s="57" t="s">
        <v>24</v>
      </c>
      <c r="C38" s="57" t="s">
        <v>18</v>
      </c>
      <c r="D38" s="57" t="s">
        <v>19</v>
      </c>
      <c r="E38" s="57" t="s">
        <v>29</v>
      </c>
      <c r="F38" s="57" t="str">
        <f>_xlfn.CONCAT(Trip_Data_worksheet!$D38," - ",Trip_Data_worksheet!$E38)</f>
        <v>Delhi - Bangalore</v>
      </c>
      <c r="G38" s="58">
        <v>909</v>
      </c>
      <c r="H38" s="59">
        <v>70.400000000000006</v>
      </c>
      <c r="I38" s="60">
        <f>Trip_Data_worksheet!$G38/Trip_Data_worksheet!$H38</f>
        <v>12.911931818181817</v>
      </c>
      <c r="J38" s="61">
        <f>Trip_Data_worksheet!$H38*100</f>
        <v>7040.0000000000009</v>
      </c>
      <c r="K38" s="62" t="s">
        <v>22</v>
      </c>
      <c r="L38" s="62" t="str" cm="1">
        <f t="array" ref="L38">_xlfn.XLOOKUP(Trip_Data_worksheet!$B38,Table2[[#All],[Vehicle_ID]],Table2[[#All],[Vehicle_Type]],0)</f>
        <v>Van</v>
      </c>
      <c r="M38" s="63" cm="1">
        <f t="array" ref="M38">_xlfn.XLOOKUP(Trip_Data_worksheet!$B38,Table2[[#All],[Vehicle_ID]],Table2[[#All],[Capacity_kg]],0)</f>
        <v>6053</v>
      </c>
      <c r="N38" s="63" cm="1">
        <f t="array" ref="N38">_xlfn.XLOOKUP(Trip_Data_worksheet!$B38,Table2[[#All],[Vehicle_ID]],Table2[[#All],[Maintenance_Cost]],0)</f>
        <v>5914</v>
      </c>
      <c r="O38" s="64">
        <v>44944</v>
      </c>
    </row>
    <row r="39" spans="1:15" ht="15.75" customHeight="1" x14ac:dyDescent="0.25">
      <c r="A39" s="47" t="s">
        <v>75</v>
      </c>
      <c r="B39" s="48" t="s">
        <v>16</v>
      </c>
      <c r="C39" s="48" t="s">
        <v>52</v>
      </c>
      <c r="D39" s="48" t="s">
        <v>29</v>
      </c>
      <c r="E39" s="48" t="s">
        <v>28</v>
      </c>
      <c r="F39" s="48" t="str">
        <f>_xlfn.CONCAT(Trip_Data_worksheet!$D39," - ",Trip_Data_worksheet!$E39)</f>
        <v>Bangalore - Mumbai</v>
      </c>
      <c r="G39" s="49">
        <v>1404</v>
      </c>
      <c r="H39" s="50">
        <v>151.36000000000001</v>
      </c>
      <c r="I39" s="51">
        <f>Trip_Data_worksheet!$G39/Trip_Data_worksheet!$H39</f>
        <v>9.2758985200845654</v>
      </c>
      <c r="J39" s="52">
        <f>Trip_Data_worksheet!$H39*100</f>
        <v>15136.000000000002</v>
      </c>
      <c r="K39" s="53" t="s">
        <v>37</v>
      </c>
      <c r="L39" s="53" t="str" cm="1">
        <f t="array" ref="L39">_xlfn.XLOOKUP(Trip_Data_worksheet!$B39,Table2[[#All],[Vehicle_ID]],Table2[[#All],[Vehicle_Type]],0)</f>
        <v>Truck</v>
      </c>
      <c r="M39" s="54" cm="1">
        <f t="array" ref="M39">_xlfn.XLOOKUP(Trip_Data_worksheet!$B39,Table2[[#All],[Vehicle_ID]],Table2[[#All],[Capacity_kg]],0)</f>
        <v>1207</v>
      </c>
      <c r="N39" s="54" cm="1">
        <f t="array" ref="N39">_xlfn.XLOOKUP(Trip_Data_worksheet!$B39,Table2[[#All],[Vehicle_ID]],Table2[[#All],[Maintenance_Cost]],0)</f>
        <v>18031</v>
      </c>
      <c r="O39" s="55">
        <v>44981</v>
      </c>
    </row>
    <row r="40" spans="1:15" ht="15.75" customHeight="1" x14ac:dyDescent="0.25">
      <c r="A40" s="56" t="s">
        <v>76</v>
      </c>
      <c r="B40" s="57" t="s">
        <v>16</v>
      </c>
      <c r="C40" s="57" t="s">
        <v>39</v>
      </c>
      <c r="D40" s="57" t="s">
        <v>29</v>
      </c>
      <c r="E40" s="57" t="s">
        <v>20</v>
      </c>
      <c r="F40" s="57" t="str">
        <f>_xlfn.CONCAT(Trip_Data_worksheet!$D40," - ",Trip_Data_worksheet!$E40)</f>
        <v>Bangalore - Pune</v>
      </c>
      <c r="G40" s="58">
        <v>555</v>
      </c>
      <c r="H40" s="59">
        <v>37.39</v>
      </c>
      <c r="I40" s="60">
        <f>Trip_Data_worksheet!$G40/Trip_Data_worksheet!$H40</f>
        <v>14.843541053757688</v>
      </c>
      <c r="J40" s="61">
        <f>Trip_Data_worksheet!$H40*100</f>
        <v>3739</v>
      </c>
      <c r="K40" s="62" t="s">
        <v>22</v>
      </c>
      <c r="L40" s="62" t="str" cm="1">
        <f t="array" ref="L40">_xlfn.XLOOKUP(Trip_Data_worksheet!$B40,Table2[[#All],[Vehicle_ID]],Table2[[#All],[Vehicle_Type]],0)</f>
        <v>Truck</v>
      </c>
      <c r="M40" s="63" cm="1">
        <f t="array" ref="M40">_xlfn.XLOOKUP(Trip_Data_worksheet!$B40,Table2[[#All],[Vehicle_ID]],Table2[[#All],[Capacity_kg]],0)</f>
        <v>1207</v>
      </c>
      <c r="N40" s="63" cm="1">
        <f t="array" ref="N40">_xlfn.XLOOKUP(Trip_Data_worksheet!$B40,Table2[[#All],[Vehicle_ID]],Table2[[#All],[Maintenance_Cost]],0)</f>
        <v>18031</v>
      </c>
      <c r="O40" s="64">
        <v>44937</v>
      </c>
    </row>
    <row r="41" spans="1:15" ht="15.75" customHeight="1" x14ac:dyDescent="0.25">
      <c r="A41" s="47" t="s">
        <v>77</v>
      </c>
      <c r="B41" s="48" t="s">
        <v>9</v>
      </c>
      <c r="C41" s="48" t="s">
        <v>27</v>
      </c>
      <c r="D41" s="48" t="s">
        <v>33</v>
      </c>
      <c r="E41" s="48" t="s">
        <v>40</v>
      </c>
      <c r="F41" s="48" t="str">
        <f>_xlfn.CONCAT(Trip_Data_worksheet!$D41," - ",Trip_Data_worksheet!$E41)</f>
        <v>Hyderabad - Kolkata</v>
      </c>
      <c r="G41" s="49">
        <v>705</v>
      </c>
      <c r="H41" s="50">
        <v>62.94</v>
      </c>
      <c r="I41" s="51">
        <f>Trip_Data_worksheet!$G41/Trip_Data_worksheet!$H41</f>
        <v>11.201143946615826</v>
      </c>
      <c r="J41" s="52">
        <f>Trip_Data_worksheet!$H41*100</f>
        <v>6294</v>
      </c>
      <c r="K41" s="53" t="s">
        <v>37</v>
      </c>
      <c r="L41" s="53" t="str" cm="1">
        <f t="array" ref="L41">_xlfn.XLOOKUP(Trip_Data_worksheet!$B41,Table2[[#All],[Vehicle_ID]],Table2[[#All],[Vehicle_Type]],0)</f>
        <v>Van</v>
      </c>
      <c r="M41" s="54" cm="1">
        <f t="array" ref="M41">_xlfn.XLOOKUP(Trip_Data_worksheet!$B41,Table2[[#All],[Vehicle_ID]],Table2[[#All],[Capacity_kg]],0)</f>
        <v>8424</v>
      </c>
      <c r="N41" s="54" cm="1">
        <f t="array" ref="N41">_xlfn.XLOOKUP(Trip_Data_worksheet!$B41,Table2[[#All],[Vehicle_ID]],Table2[[#All],[Maintenance_Cost]],0)</f>
        <v>5633</v>
      </c>
      <c r="O41" s="55">
        <v>44938</v>
      </c>
    </row>
    <row r="42" spans="1:15" ht="15.75" customHeight="1" x14ac:dyDescent="0.25">
      <c r="A42" s="56" t="s">
        <v>78</v>
      </c>
      <c r="B42" s="57" t="s">
        <v>24</v>
      </c>
      <c r="C42" s="57" t="s">
        <v>18</v>
      </c>
      <c r="D42" s="57" t="s">
        <v>33</v>
      </c>
      <c r="E42" s="57" t="s">
        <v>19</v>
      </c>
      <c r="F42" s="57" t="str">
        <f>_xlfn.CONCAT(Trip_Data_worksheet!$D42," - ",Trip_Data_worksheet!$E42)</f>
        <v>Hyderabad - Delhi</v>
      </c>
      <c r="G42" s="58">
        <v>64</v>
      </c>
      <c r="H42" s="59">
        <v>4.96</v>
      </c>
      <c r="I42" s="60">
        <f>Trip_Data_worksheet!$G42/Trip_Data_worksheet!$H42</f>
        <v>12.903225806451614</v>
      </c>
      <c r="J42" s="61">
        <f>Trip_Data_worksheet!$H42*100</f>
        <v>496</v>
      </c>
      <c r="K42" s="62" t="s">
        <v>37</v>
      </c>
      <c r="L42" s="62" t="str" cm="1">
        <f t="array" ref="L42">_xlfn.XLOOKUP(Trip_Data_worksheet!$B42,Table2[[#All],[Vehicle_ID]],Table2[[#All],[Vehicle_Type]],0)</f>
        <v>Van</v>
      </c>
      <c r="M42" s="63" cm="1">
        <f t="array" ref="M42">_xlfn.XLOOKUP(Trip_Data_worksheet!$B42,Table2[[#All],[Vehicle_ID]],Table2[[#All],[Capacity_kg]],0)</f>
        <v>6053</v>
      </c>
      <c r="N42" s="63" cm="1">
        <f t="array" ref="N42">_xlfn.XLOOKUP(Trip_Data_worksheet!$B42,Table2[[#All],[Vehicle_ID]],Table2[[#All],[Maintenance_Cost]],0)</f>
        <v>5914</v>
      </c>
      <c r="O42" s="64">
        <v>44952</v>
      </c>
    </row>
    <row r="43" spans="1:15" ht="15.75" customHeight="1" x14ac:dyDescent="0.25">
      <c r="A43" s="47" t="s">
        <v>79</v>
      </c>
      <c r="B43" s="48" t="s">
        <v>23</v>
      </c>
      <c r="C43" s="48" t="s">
        <v>39</v>
      </c>
      <c r="D43" s="48" t="s">
        <v>33</v>
      </c>
      <c r="E43" s="48" t="s">
        <v>36</v>
      </c>
      <c r="F43" s="48" t="str">
        <f>_xlfn.CONCAT(Trip_Data_worksheet!$D43," - ",Trip_Data_worksheet!$E43)</f>
        <v>Hyderabad - Chennai</v>
      </c>
      <c r="G43" s="49">
        <v>1245</v>
      </c>
      <c r="H43" s="50">
        <v>95.14</v>
      </c>
      <c r="I43" s="51">
        <f>Trip_Data_worksheet!$G43/Trip_Data_worksheet!$H43</f>
        <v>13.085978557914652</v>
      </c>
      <c r="J43" s="52">
        <f>Trip_Data_worksheet!$H43*100</f>
        <v>9514</v>
      </c>
      <c r="K43" s="53" t="s">
        <v>22</v>
      </c>
      <c r="L43" s="53" t="str" cm="1">
        <f t="array" ref="L43">_xlfn.XLOOKUP(Trip_Data_worksheet!$B43,Table2[[#All],[Vehicle_ID]],Table2[[#All],[Vehicle_Type]],0)</f>
        <v>Truck</v>
      </c>
      <c r="M43" s="54" cm="1">
        <f t="array" ref="M43">_xlfn.XLOOKUP(Trip_Data_worksheet!$B43,Table2[[#All],[Vehicle_ID]],Table2[[#All],[Capacity_kg]],0)</f>
        <v>9941</v>
      </c>
      <c r="N43" s="54" cm="1">
        <f t="array" ref="N43">_xlfn.XLOOKUP(Trip_Data_worksheet!$B43,Table2[[#All],[Vehicle_ID]],Table2[[#All],[Maintenance_Cost]],0)</f>
        <v>17751</v>
      </c>
      <c r="O43" s="55">
        <v>44967</v>
      </c>
    </row>
    <row r="44" spans="1:15" ht="15.75" customHeight="1" x14ac:dyDescent="0.25">
      <c r="A44" s="56" t="s">
        <v>80</v>
      </c>
      <c r="B44" s="57" t="s">
        <v>24</v>
      </c>
      <c r="C44" s="57" t="s">
        <v>52</v>
      </c>
      <c r="D44" s="57" t="s">
        <v>33</v>
      </c>
      <c r="E44" s="57" t="s">
        <v>29</v>
      </c>
      <c r="F44" s="57" t="str">
        <f>_xlfn.CONCAT(Trip_Data_worksheet!$D44," - ",Trip_Data_worksheet!$E44)</f>
        <v>Hyderabad - Bangalore</v>
      </c>
      <c r="G44" s="58">
        <f>116+666</f>
        <v>782</v>
      </c>
      <c r="H44" s="59">
        <v>8.7100000000000009</v>
      </c>
      <c r="I44" s="60">
        <f>Trip_Data_worksheet!$G44/Trip_Data_worksheet!$H44</f>
        <v>89.781859931113658</v>
      </c>
      <c r="J44" s="61">
        <f>Trip_Data_worksheet!$H44*100</f>
        <v>871.00000000000011</v>
      </c>
      <c r="K44" s="62" t="s">
        <v>37</v>
      </c>
      <c r="L44" s="62" t="str" cm="1">
        <f t="array" ref="L44">_xlfn.XLOOKUP(Trip_Data_worksheet!$B44,Table2[[#All],[Vehicle_ID]],Table2[[#All],[Vehicle_Type]],0)</f>
        <v>Van</v>
      </c>
      <c r="M44" s="63" cm="1">
        <f t="array" ref="M44">_xlfn.XLOOKUP(Trip_Data_worksheet!$B44,Table2[[#All],[Vehicle_ID]],Table2[[#All],[Capacity_kg]],0)</f>
        <v>6053</v>
      </c>
      <c r="N44" s="63" cm="1">
        <f t="array" ref="N44">_xlfn.XLOOKUP(Trip_Data_worksheet!$B44,Table2[[#All],[Vehicle_ID]],Table2[[#All],[Maintenance_Cost]],0)</f>
        <v>5914</v>
      </c>
      <c r="O44" s="64">
        <v>44932</v>
      </c>
    </row>
    <row r="45" spans="1:15" ht="15.75" customHeight="1" x14ac:dyDescent="0.25">
      <c r="A45" s="47" t="s">
        <v>82</v>
      </c>
      <c r="B45" s="48" t="s">
        <v>17</v>
      </c>
      <c r="C45" s="48" t="s">
        <v>35</v>
      </c>
      <c r="D45" s="48" t="s">
        <v>19</v>
      </c>
      <c r="E45" s="48" t="s">
        <v>28</v>
      </c>
      <c r="F45" s="48" t="str">
        <f>_xlfn.CONCAT(Trip_Data_worksheet!$D45," - ",Trip_Data_worksheet!$E45)</f>
        <v>Delhi - Mumbai</v>
      </c>
      <c r="G45" s="49">
        <v>1259</v>
      </c>
      <c r="H45" s="50">
        <v>87.59</v>
      </c>
      <c r="I45" s="51">
        <f>Trip_Data_worksheet!$G45/Trip_Data_worksheet!$H45</f>
        <v>14.373786961981962</v>
      </c>
      <c r="J45" s="52">
        <f>Trip_Data_worksheet!$H45*100</f>
        <v>8759</v>
      </c>
      <c r="K45" s="53" t="s">
        <v>37</v>
      </c>
      <c r="L45" s="53" t="str" cm="1">
        <f t="array" ref="L45">_xlfn.XLOOKUP(Trip_Data_worksheet!$B45,Table2[[#All],[Vehicle_ID]],Table2[[#All],[Vehicle_Type]],0)</f>
        <v>Mini-Truck</v>
      </c>
      <c r="M45" s="54" cm="1">
        <f t="array" ref="M45">_xlfn.XLOOKUP(Trip_Data_worksheet!$B45,Table2[[#All],[Vehicle_ID]],Table2[[#All],[Capacity_kg]],0)</f>
        <v>8803</v>
      </c>
      <c r="N45" s="54" cm="1">
        <f t="array" ref="N45">_xlfn.XLOOKUP(Trip_Data_worksheet!$B45,Table2[[#All],[Vehicle_ID]],Table2[[#All],[Maintenance_Cost]],0)</f>
        <v>9033</v>
      </c>
      <c r="O45" s="55">
        <v>44955</v>
      </c>
    </row>
    <row r="46" spans="1:15" ht="15.75" customHeight="1" x14ac:dyDescent="0.25">
      <c r="A46" s="56" t="s">
        <v>83</v>
      </c>
      <c r="B46" s="57" t="s">
        <v>13</v>
      </c>
      <c r="C46" s="57" t="s">
        <v>39</v>
      </c>
      <c r="D46" s="57" t="s">
        <v>40</v>
      </c>
      <c r="E46" s="57" t="s">
        <v>36</v>
      </c>
      <c r="F46" s="57" t="str">
        <f>_xlfn.CONCAT(Trip_Data_worksheet!$D46," - ",Trip_Data_worksheet!$E46)</f>
        <v>Kolkata - Chennai</v>
      </c>
      <c r="G46" s="58">
        <v>1803</v>
      </c>
      <c r="H46" s="59">
        <v>211.34</v>
      </c>
      <c r="I46" s="60">
        <f>Trip_Data_worksheet!$G46/Trip_Data_worksheet!$H46</f>
        <v>8.5312766158796247</v>
      </c>
      <c r="J46" s="61">
        <f>Trip_Data_worksheet!$H46*100</f>
        <v>21134</v>
      </c>
      <c r="K46" s="62" t="s">
        <v>22</v>
      </c>
      <c r="L46" s="62" t="str" cm="1">
        <f t="array" ref="L46">_xlfn.XLOOKUP(Trip_Data_worksheet!$B46,Table2[[#All],[Vehicle_ID]],Table2[[#All],[Vehicle_Type]],0)</f>
        <v>Truck</v>
      </c>
      <c r="M46" s="63" cm="1">
        <f t="array" ref="M46">_xlfn.XLOOKUP(Trip_Data_worksheet!$B46,Table2[[#All],[Vehicle_ID]],Table2[[#All],[Capacity_kg]],0)</f>
        <v>1970</v>
      </c>
      <c r="N46" s="63" cm="1">
        <f t="array" ref="N46">_xlfn.XLOOKUP(Trip_Data_worksheet!$B46,Table2[[#All],[Vehicle_ID]],Table2[[#All],[Maintenance_Cost]],0)</f>
        <v>6776</v>
      </c>
      <c r="O46" s="64">
        <v>44970</v>
      </c>
    </row>
    <row r="47" spans="1:15" ht="15.75" customHeight="1" x14ac:dyDescent="0.25">
      <c r="A47" s="47" t="s">
        <v>84</v>
      </c>
      <c r="B47" s="48" t="s">
        <v>17</v>
      </c>
      <c r="C47" s="48" t="s">
        <v>35</v>
      </c>
      <c r="D47" s="48" t="s">
        <v>36</v>
      </c>
      <c r="E47" s="48" t="s">
        <v>33</v>
      </c>
      <c r="F47" s="48" t="str">
        <f>_xlfn.CONCAT(Trip_Data_worksheet!$D47," - ",Trip_Data_worksheet!$E47)</f>
        <v>Chennai - Hyderabad</v>
      </c>
      <c r="G47" s="49">
        <v>1096</v>
      </c>
      <c r="H47" s="50">
        <v>100.52</v>
      </c>
      <c r="I47" s="51">
        <f>Trip_Data_worksheet!$G47/Trip_Data_worksheet!$H47</f>
        <v>10.903302825308396</v>
      </c>
      <c r="J47" s="52">
        <f>Trip_Data_worksheet!$H47*100</f>
        <v>10052</v>
      </c>
      <c r="K47" s="53" t="s">
        <v>37</v>
      </c>
      <c r="L47" s="53" t="str" cm="1">
        <f t="array" ref="L47">_xlfn.XLOOKUP(Trip_Data_worksheet!$B47,Table2[[#All],[Vehicle_ID]],Table2[[#All],[Vehicle_Type]],0)</f>
        <v>Mini-Truck</v>
      </c>
      <c r="M47" s="54" cm="1">
        <f t="array" ref="M47">_xlfn.XLOOKUP(Trip_Data_worksheet!$B47,Table2[[#All],[Vehicle_ID]],Table2[[#All],[Capacity_kg]],0)</f>
        <v>8803</v>
      </c>
      <c r="N47" s="54" cm="1">
        <f t="array" ref="N47">_xlfn.XLOOKUP(Trip_Data_worksheet!$B47,Table2[[#All],[Vehicle_ID]],Table2[[#All],[Maintenance_Cost]],0)</f>
        <v>9033</v>
      </c>
      <c r="O47" s="55">
        <v>44947</v>
      </c>
    </row>
    <row r="48" spans="1:15" ht="15.75" customHeight="1" x14ac:dyDescent="0.25">
      <c r="A48" s="56" t="s">
        <v>85</v>
      </c>
      <c r="B48" s="57" t="s">
        <v>23</v>
      </c>
      <c r="C48" s="57" t="s">
        <v>52</v>
      </c>
      <c r="D48" s="57" t="s">
        <v>33</v>
      </c>
      <c r="E48" s="57" t="s">
        <v>19</v>
      </c>
      <c r="F48" s="57" t="str">
        <f>_xlfn.CONCAT(Trip_Data_worksheet!$D48," - ",Trip_Data_worksheet!$E48)</f>
        <v>Hyderabad - Delhi</v>
      </c>
      <c r="G48" s="58">
        <v>572</v>
      </c>
      <c r="H48" s="59">
        <v>61.6</v>
      </c>
      <c r="I48" s="60">
        <f>Trip_Data_worksheet!$G48/Trip_Data_worksheet!$H48</f>
        <v>9.2857142857142847</v>
      </c>
      <c r="J48" s="61">
        <f>Trip_Data_worksheet!$H48*100</f>
        <v>6160</v>
      </c>
      <c r="K48" s="62" t="s">
        <v>22</v>
      </c>
      <c r="L48" s="62" t="str" cm="1">
        <f t="array" ref="L48">_xlfn.XLOOKUP(Trip_Data_worksheet!$B48,Table2[[#All],[Vehicle_ID]],Table2[[#All],[Vehicle_Type]],0)</f>
        <v>Truck</v>
      </c>
      <c r="M48" s="63" cm="1">
        <f t="array" ref="M48">_xlfn.XLOOKUP(Trip_Data_worksheet!$B48,Table2[[#All],[Vehicle_ID]],Table2[[#All],[Capacity_kg]],0)</f>
        <v>9941</v>
      </c>
      <c r="N48" s="63" cm="1">
        <f t="array" ref="N48">_xlfn.XLOOKUP(Trip_Data_worksheet!$B48,Table2[[#All],[Vehicle_ID]],Table2[[#All],[Maintenance_Cost]],0)</f>
        <v>17751</v>
      </c>
      <c r="O48" s="64">
        <v>44948</v>
      </c>
    </row>
    <row r="49" spans="1:15" ht="15.75" customHeight="1" x14ac:dyDescent="0.25">
      <c r="A49" s="47" t="s">
        <v>86</v>
      </c>
      <c r="B49" s="48" t="s">
        <v>17</v>
      </c>
      <c r="C49" s="48" t="s">
        <v>18</v>
      </c>
      <c r="D49" s="48" t="s">
        <v>36</v>
      </c>
      <c r="E49" s="48" t="s">
        <v>29</v>
      </c>
      <c r="F49" s="48" t="str">
        <f>_xlfn.CONCAT(Trip_Data_worksheet!$D49," - ",Trip_Data_worksheet!$E49)</f>
        <v>Chennai - Bangalore</v>
      </c>
      <c r="G49" s="49">
        <v>1441</v>
      </c>
      <c r="H49" s="50">
        <v>140.79</v>
      </c>
      <c r="I49" s="51">
        <f>Trip_Data_worksheet!$G49/Trip_Data_worksheet!$H49</f>
        <v>10.235101924852618</v>
      </c>
      <c r="J49" s="52">
        <f>Trip_Data_worksheet!$H49*100</f>
        <v>14079</v>
      </c>
      <c r="K49" s="53" t="s">
        <v>37</v>
      </c>
      <c r="L49" s="53" t="str" cm="1">
        <f t="array" ref="L49">_xlfn.XLOOKUP(Trip_Data_worksheet!$B49,Table2[[#All],[Vehicle_ID]],Table2[[#All],[Vehicle_Type]],0)</f>
        <v>Mini-Truck</v>
      </c>
      <c r="M49" s="54" cm="1">
        <f t="array" ref="M49">_xlfn.XLOOKUP(Trip_Data_worksheet!$B49,Table2[[#All],[Vehicle_ID]],Table2[[#All],[Capacity_kg]],0)</f>
        <v>8803</v>
      </c>
      <c r="N49" s="54" cm="1">
        <f t="array" ref="N49">_xlfn.XLOOKUP(Trip_Data_worksheet!$B49,Table2[[#All],[Vehicle_ID]],Table2[[#All],[Maintenance_Cost]],0)</f>
        <v>9033</v>
      </c>
      <c r="O49" s="55">
        <v>44985</v>
      </c>
    </row>
    <row r="50" spans="1:15" ht="15.75" customHeight="1" x14ac:dyDescent="0.25">
      <c r="A50" s="56" t="s">
        <v>87</v>
      </c>
      <c r="B50" s="57" t="s">
        <v>26</v>
      </c>
      <c r="C50" s="57" t="s">
        <v>48</v>
      </c>
      <c r="D50" s="57" t="s">
        <v>29</v>
      </c>
      <c r="E50" s="57" t="s">
        <v>28</v>
      </c>
      <c r="F50" s="57" t="str">
        <f>_xlfn.CONCAT(Trip_Data_worksheet!$D50," - ",Trip_Data_worksheet!$E50)</f>
        <v>Bangalore - Mumbai</v>
      </c>
      <c r="G50" s="58">
        <v>1685</v>
      </c>
      <c r="H50" s="59">
        <v>119.01</v>
      </c>
      <c r="I50" s="60">
        <f>Trip_Data_worksheet!$G50/Trip_Data_worksheet!$H50</f>
        <v>14.158474077808586</v>
      </c>
      <c r="J50" s="61">
        <f>Trip_Data_worksheet!$H50*100</f>
        <v>11901</v>
      </c>
      <c r="K50" s="62" t="s">
        <v>37</v>
      </c>
      <c r="L50" s="62" t="str" cm="1">
        <f t="array" ref="L50">_xlfn.XLOOKUP(Trip_Data_worksheet!$B50,Table2[[#All],[Vehicle_ID]],Table2[[#All],[Vehicle_Type]],0)</f>
        <v>Van</v>
      </c>
      <c r="M50" s="63" cm="1">
        <f t="array" ref="M50">_xlfn.XLOOKUP(Trip_Data_worksheet!$B50,Table2[[#All],[Vehicle_ID]],Table2[[#All],[Capacity_kg]],0)</f>
        <v>2598</v>
      </c>
      <c r="N50" s="63" cm="1">
        <f t="array" ref="N50">_xlfn.XLOOKUP(Trip_Data_worksheet!$B50,Table2[[#All],[Vehicle_ID]],Table2[[#All],[Maintenance_Cost]],0)</f>
        <v>12837</v>
      </c>
      <c r="O50" s="64">
        <v>44973</v>
      </c>
    </row>
    <row r="51" spans="1:15" ht="15.75" customHeight="1" x14ac:dyDescent="0.25">
      <c r="A51" s="47" t="s">
        <v>88</v>
      </c>
      <c r="B51" s="48" t="s">
        <v>24</v>
      </c>
      <c r="C51" s="48" t="s">
        <v>39</v>
      </c>
      <c r="D51" s="48" t="s">
        <v>28</v>
      </c>
      <c r="E51" s="48" t="s">
        <v>19</v>
      </c>
      <c r="F51" s="48" t="str">
        <f>_xlfn.CONCAT(Trip_Data_worksheet!$D51," - ",Trip_Data_worksheet!$E51)</f>
        <v>Mumbai - Delhi</v>
      </c>
      <c r="G51" s="49">
        <v>1233</v>
      </c>
      <c r="H51" s="50">
        <v>153.35</v>
      </c>
      <c r="I51" s="51">
        <f>Trip_Data_worksheet!$G51/Trip_Data_worksheet!$H51</f>
        <v>8.0404303880013046</v>
      </c>
      <c r="J51" s="52">
        <f>Trip_Data_worksheet!$H51*100</f>
        <v>15335</v>
      </c>
      <c r="K51" s="53" t="s">
        <v>22</v>
      </c>
      <c r="L51" s="53" t="str" cm="1">
        <f t="array" ref="L51">_xlfn.XLOOKUP(Trip_Data_worksheet!$B51,Table2[[#All],[Vehicle_ID]],Table2[[#All],[Vehicle_Type]],0)</f>
        <v>Van</v>
      </c>
      <c r="M51" s="54" cm="1">
        <f t="array" ref="M51">_xlfn.XLOOKUP(Trip_Data_worksheet!$B51,Table2[[#All],[Vehicle_ID]],Table2[[#All],[Capacity_kg]],0)</f>
        <v>6053</v>
      </c>
      <c r="N51" s="54" cm="1">
        <f t="array" ref="N51">_xlfn.XLOOKUP(Trip_Data_worksheet!$B51,Table2[[#All],[Vehicle_ID]],Table2[[#All],[Maintenance_Cost]],0)</f>
        <v>5914</v>
      </c>
      <c r="O51" s="55">
        <v>44938</v>
      </c>
    </row>
    <row r="52" spans="1:15" ht="15.75" customHeight="1" x14ac:dyDescent="0.25">
      <c r="A52" s="70"/>
      <c r="B52" s="71"/>
      <c r="C52" s="71"/>
      <c r="D52" s="71"/>
      <c r="E52" s="71"/>
      <c r="F52" s="71"/>
      <c r="G52" s="72"/>
      <c r="H52" s="73"/>
      <c r="I52" s="74"/>
      <c r="J52" s="75"/>
      <c r="K52" s="76"/>
      <c r="L52" s="76"/>
      <c r="M52" s="77"/>
      <c r="N52" s="77"/>
      <c r="O52" s="78"/>
    </row>
    <row r="53" spans="1:15" ht="15.75" customHeight="1" x14ac:dyDescent="0.25"/>
    <row r="54" spans="1:15" ht="15.75" customHeight="1" x14ac:dyDescent="0.25">
      <c r="A54" s="34" t="s">
        <v>114</v>
      </c>
      <c r="B54" s="35"/>
      <c r="C54" s="35"/>
      <c r="D54" s="35"/>
      <c r="E54" s="35"/>
      <c r="F54" s="35"/>
      <c r="G54" s="35"/>
    </row>
    <row r="55" spans="1:15" ht="15.75" customHeight="1" x14ac:dyDescent="0.25">
      <c r="A55" s="36"/>
      <c r="B55" s="36"/>
      <c r="C55" s="36"/>
      <c r="D55" s="36"/>
      <c r="E55" s="36"/>
      <c r="F55" s="36"/>
      <c r="G55" s="36"/>
      <c r="I55" s="12"/>
    </row>
    <row r="56" spans="1:15" ht="15.75" customHeight="1" x14ac:dyDescent="0.3">
      <c r="A56" s="33" t="s">
        <v>113</v>
      </c>
      <c r="B56" s="33"/>
      <c r="C56" s="33"/>
      <c r="D56" s="33"/>
      <c r="E56" s="33"/>
      <c r="F56" s="33"/>
      <c r="G56" s="28">
        <f>COUNTA(_xlfn.UNIQUE(Trip_Data_worksheet!$A$2:$A$51))</f>
        <v>50</v>
      </c>
    </row>
    <row r="57" spans="1:15" ht="15.75" customHeight="1" x14ac:dyDescent="0.3">
      <c r="A57" s="33" t="s">
        <v>105</v>
      </c>
      <c r="B57" s="33"/>
      <c r="C57" s="33"/>
      <c r="D57" s="33"/>
      <c r="E57" s="33"/>
      <c r="F57" s="33"/>
      <c r="G57" s="28">
        <f>SUM(G2:G56)</f>
        <v>53657</v>
      </c>
      <c r="H57" s="18"/>
      <c r="I57" s="9"/>
      <c r="L57" s="14">
        <f>COUNTIFS(Trip_Data_worksheet!$B$2:$B$51,"V01",Trip_Data_worksheet!$K$2:$K$51,"On-Time")</f>
        <v>1</v>
      </c>
      <c r="N57" s="21"/>
    </row>
    <row r="58" spans="1:15" ht="15.75" customHeight="1" x14ac:dyDescent="0.3">
      <c r="A58" s="33" t="s">
        <v>106</v>
      </c>
      <c r="B58" s="33"/>
      <c r="C58" s="33"/>
      <c r="D58" s="33"/>
      <c r="E58" s="33"/>
      <c r="F58" s="33"/>
      <c r="G58" s="29">
        <f>SUM(Trip_Data_worksheet!$H$2:$H$51)</f>
        <v>4629.8000000000011</v>
      </c>
      <c r="I58" s="10"/>
    </row>
    <row r="59" spans="1:15" ht="15.75" customHeight="1" x14ac:dyDescent="0.25">
      <c r="A59" s="37" t="s">
        <v>107</v>
      </c>
      <c r="B59" s="37"/>
      <c r="C59" s="37"/>
      <c r="D59" s="37"/>
      <c r="E59" s="37"/>
      <c r="F59" s="37"/>
      <c r="G59" s="93">
        <f>SUM(Trip_Data_worksheet!$J$2:$J$51)</f>
        <v>462980</v>
      </c>
      <c r="H59" s="19"/>
      <c r="I59" s="9"/>
    </row>
    <row r="60" spans="1:15" ht="15.75" customHeight="1" x14ac:dyDescent="0.25">
      <c r="A60" s="37"/>
      <c r="B60" s="37"/>
      <c r="C60" s="37"/>
      <c r="D60" s="37"/>
      <c r="E60" s="37"/>
      <c r="F60" s="37"/>
      <c r="G60" s="94"/>
      <c r="I60" s="10"/>
    </row>
    <row r="61" spans="1:15" ht="15.75" customHeight="1" x14ac:dyDescent="0.3">
      <c r="A61" s="33" t="s">
        <v>108</v>
      </c>
      <c r="B61" s="33"/>
      <c r="C61" s="33"/>
      <c r="D61" s="33"/>
      <c r="E61" s="33"/>
      <c r="F61" s="33"/>
      <c r="G61" s="28">
        <f>COUNTIF(Trip_Data_worksheet!$K$2:$K$51,K2)</f>
        <v>30</v>
      </c>
      <c r="I61" s="9"/>
    </row>
    <row r="62" spans="1:15" ht="15.75" customHeight="1" x14ac:dyDescent="0.3">
      <c r="A62" s="33" t="s">
        <v>109</v>
      </c>
      <c r="B62" s="33"/>
      <c r="C62" s="33"/>
      <c r="D62" s="33"/>
      <c r="E62" s="33"/>
      <c r="F62" s="33"/>
      <c r="G62" s="28">
        <f>COUNTIF(Trip_Data_worksheet!$K$2:$K$51,K7)</f>
        <v>20</v>
      </c>
      <c r="I62" s="10"/>
    </row>
    <row r="63" spans="1:15" ht="15.75" customHeight="1" x14ac:dyDescent="0.3">
      <c r="A63" s="33" t="s">
        <v>112</v>
      </c>
      <c r="B63" s="33"/>
      <c r="C63" s="33"/>
      <c r="D63" s="33"/>
      <c r="E63" s="33"/>
      <c r="F63" s="33"/>
      <c r="G63" s="30">
        <f>G61/G56</f>
        <v>0.6</v>
      </c>
      <c r="I63" s="9"/>
    </row>
    <row r="64" spans="1:15" ht="15.75" customHeight="1" x14ac:dyDescent="0.3">
      <c r="A64" s="33" t="s">
        <v>110</v>
      </c>
      <c r="B64" s="33"/>
      <c r="C64" s="33"/>
      <c r="D64" s="33"/>
      <c r="E64" s="33"/>
      <c r="F64" s="33"/>
      <c r="G64" s="28">
        <f>COUNTA(_xlfn.UNIQUE(Trip_Data_worksheet!$F$2:$F$51))</f>
        <v>31</v>
      </c>
    </row>
    <row r="65" spans="1:12" ht="15.75" customHeight="1" x14ac:dyDescent="0.3">
      <c r="A65" s="33" t="s">
        <v>111</v>
      </c>
      <c r="B65" s="33"/>
      <c r="C65" s="33"/>
      <c r="D65" s="33"/>
      <c r="E65" s="33"/>
      <c r="F65" s="33"/>
      <c r="G65" s="28">
        <f>SUM(Table2[Maintenance_Cost])</f>
        <v>75975</v>
      </c>
      <c r="J65" s="12"/>
      <c r="L65" s="16"/>
    </row>
    <row r="66" spans="1:12" ht="15.75" customHeight="1" x14ac:dyDescent="0.3">
      <c r="A66" s="33" t="s">
        <v>115</v>
      </c>
      <c r="B66" s="33"/>
      <c r="C66" s="33"/>
      <c r="D66" s="33"/>
      <c r="E66" s="33"/>
      <c r="F66" s="33"/>
      <c r="G66" s="28">
        <f>COUNTA(_xlfn.UNIQUE(Trip_Data_worksheet!$C$2:$C$51))</f>
        <v>10</v>
      </c>
    </row>
    <row r="67" spans="1:12" ht="15.75" customHeight="1" x14ac:dyDescent="0.3">
      <c r="A67" s="33" t="s">
        <v>116</v>
      </c>
      <c r="B67" s="33"/>
      <c r="C67" s="33"/>
      <c r="D67" s="33"/>
      <c r="E67" s="33"/>
      <c r="F67" s="33"/>
      <c r="G67" s="95">
        <f>G57/G58</f>
        <v>11.589485506933341</v>
      </c>
      <c r="H67" s="31"/>
      <c r="I67" s="31"/>
      <c r="J67" s="31"/>
      <c r="K67" s="31"/>
      <c r="L67" s="31"/>
    </row>
    <row r="68" spans="1:12" ht="15.75" customHeight="1" x14ac:dyDescent="0.25"/>
    <row r="69" spans="1:12" ht="15.75" customHeight="1" x14ac:dyDescent="0.25"/>
    <row r="70" spans="1:12" ht="15.75" customHeight="1" x14ac:dyDescent="0.25">
      <c r="A70" s="80" t="s">
        <v>121</v>
      </c>
      <c r="B70" s="81"/>
      <c r="C70" s="84" t="s">
        <v>122</v>
      </c>
      <c r="D70" s="84" t="s">
        <v>120</v>
      </c>
      <c r="E70" s="84" t="s">
        <v>123</v>
      </c>
    </row>
    <row r="71" spans="1:12" ht="15.75" customHeight="1" x14ac:dyDescent="0.25">
      <c r="A71" s="82"/>
      <c r="B71" s="83"/>
      <c r="C71" s="85"/>
      <c r="D71" s="85"/>
      <c r="E71" s="85"/>
    </row>
    <row r="72" spans="1:12" ht="15.75" customHeight="1" x14ac:dyDescent="0.25">
      <c r="A72" s="88" t="s">
        <v>18</v>
      </c>
      <c r="B72" s="89"/>
      <c r="C72" s="79">
        <f>COUNTIFS(Table1[Driver_ID],C2,Table1[Delivery_Status],K2)</f>
        <v>4</v>
      </c>
      <c r="D72" s="87">
        <f>COUNTIF(Table1[Driver_ID],A72)</f>
        <v>6</v>
      </c>
      <c r="E72" s="86">
        <f>C72/D72</f>
        <v>0.66666666666666663</v>
      </c>
    </row>
    <row r="73" spans="1:12" ht="15.75" customHeight="1" x14ac:dyDescent="0.25">
      <c r="A73" s="88" t="s">
        <v>44</v>
      </c>
      <c r="B73" s="89"/>
      <c r="C73" s="79">
        <f>COUNTIFS(C2:C51,C11,K2:K51,K2)</f>
        <v>1</v>
      </c>
      <c r="D73" s="87">
        <f>COUNTIF(Table1[Driver_ID],A73)</f>
        <v>3</v>
      </c>
      <c r="E73" s="86">
        <f t="shared" ref="E73:E81" si="0">C73/D73</f>
        <v>0.33333333333333331</v>
      </c>
    </row>
    <row r="74" spans="1:12" ht="15.75" customHeight="1" x14ac:dyDescent="0.25">
      <c r="A74" s="88" t="s">
        <v>39</v>
      </c>
      <c r="B74" s="89"/>
      <c r="C74" s="79">
        <f>COUNTIFS(C2:C51,C12,K2:K51,K2)</f>
        <v>6</v>
      </c>
      <c r="D74" s="87">
        <f>COUNTIF(Table1[Driver_ID],A74)</f>
        <v>6</v>
      </c>
      <c r="E74" s="86">
        <f t="shared" si="0"/>
        <v>1</v>
      </c>
    </row>
    <row r="75" spans="1:12" ht="15.75" customHeight="1" x14ac:dyDescent="0.25">
      <c r="A75" s="88" t="s">
        <v>48</v>
      </c>
      <c r="B75" s="89"/>
      <c r="C75" s="79">
        <f>COUNTIFS(C2:C51,C14,K2:K51,K2)</f>
        <v>3</v>
      </c>
      <c r="D75" s="87">
        <f>COUNTIF(Table1[Driver_ID],A75)</f>
        <v>6</v>
      </c>
      <c r="E75" s="86">
        <f t="shared" si="0"/>
        <v>0.5</v>
      </c>
    </row>
    <row r="76" spans="1:12" ht="15.75" customHeight="1" x14ac:dyDescent="0.25">
      <c r="A76" s="88" t="s">
        <v>50</v>
      </c>
      <c r="B76" s="89"/>
      <c r="C76" s="79">
        <f>COUNTIFS(C2:C51,C15,K2:K51,K2)</f>
        <v>1</v>
      </c>
      <c r="D76" s="87">
        <f>COUNTIF(Table1[Driver_ID],A76)</f>
        <v>1</v>
      </c>
      <c r="E76" s="86">
        <f t="shared" si="0"/>
        <v>1</v>
      </c>
    </row>
    <row r="77" spans="1:12" ht="15.75" customHeight="1" x14ac:dyDescent="0.25">
      <c r="A77" s="88" t="s">
        <v>52</v>
      </c>
      <c r="B77" s="89"/>
      <c r="C77" s="79">
        <f>COUNTIFS(C2:C51,C16,K2:K51,K2)</f>
        <v>3</v>
      </c>
      <c r="D77" s="87">
        <f>COUNTIF(Table1[Driver_ID],A77)</f>
        <v>7</v>
      </c>
      <c r="E77" s="86">
        <f t="shared" si="0"/>
        <v>0.42857142857142855</v>
      </c>
    </row>
    <row r="78" spans="1:12" ht="15.75" customHeight="1" x14ac:dyDescent="0.25">
      <c r="A78" s="88" t="s">
        <v>35</v>
      </c>
      <c r="B78" s="89"/>
      <c r="C78" s="79">
        <f>COUNTIFS(C2:C51,C45,K2:K51,K2)</f>
        <v>2</v>
      </c>
      <c r="D78" s="87">
        <f>COUNTIF(Table1[Driver_ID],A78)</f>
        <v>7</v>
      </c>
      <c r="E78" s="86">
        <f t="shared" si="0"/>
        <v>0.2857142857142857</v>
      </c>
    </row>
    <row r="79" spans="1:12" ht="15.75" customHeight="1" x14ac:dyDescent="0.25">
      <c r="A79" s="88" t="s">
        <v>27</v>
      </c>
      <c r="B79" s="89"/>
      <c r="C79" s="79">
        <f>COUNTIFS(C2:C51,C41,K2:K51,K2)</f>
        <v>3</v>
      </c>
      <c r="D79" s="87">
        <f>COUNTIF(Table1[Driver_ID],A79)</f>
        <v>4</v>
      </c>
      <c r="E79" s="86">
        <f t="shared" si="0"/>
        <v>0.75</v>
      </c>
    </row>
    <row r="80" spans="1:12" ht="15.75" customHeight="1" x14ac:dyDescent="0.25">
      <c r="A80" s="88" t="s">
        <v>32</v>
      </c>
      <c r="B80" s="89"/>
      <c r="C80" s="79">
        <f>COUNTIFS(C2:C51,C23,K2:K51,K2)</f>
        <v>3</v>
      </c>
      <c r="D80" s="87">
        <f>COUNTIF(Table1[Driver_ID],A80)</f>
        <v>4</v>
      </c>
      <c r="E80" s="86">
        <f t="shared" si="0"/>
        <v>0.75</v>
      </c>
    </row>
    <row r="81" spans="1:5" ht="15.75" customHeight="1" x14ac:dyDescent="0.25">
      <c r="A81" s="88" t="s">
        <v>42</v>
      </c>
      <c r="B81" s="89"/>
      <c r="C81" s="79">
        <f>COUNTIFS(C2:C51,C37,K2:K51,K2)</f>
        <v>4</v>
      </c>
      <c r="D81" s="87">
        <f>COUNTIF(Table1[Driver_ID],A81)</f>
        <v>6</v>
      </c>
      <c r="E81" s="86">
        <f t="shared" si="0"/>
        <v>0.66666666666666663</v>
      </c>
    </row>
    <row r="82" spans="1:5" ht="15.75" customHeight="1" x14ac:dyDescent="0.25"/>
    <row r="83" spans="1:5" ht="15.75" customHeight="1" x14ac:dyDescent="0.25"/>
    <row r="84" spans="1:5" ht="15.75" customHeight="1" x14ac:dyDescent="0.25"/>
    <row r="85" spans="1:5" ht="15.75" customHeight="1" x14ac:dyDescent="0.25"/>
    <row r="86" spans="1:5" ht="15.75" customHeight="1" x14ac:dyDescent="0.25"/>
    <row r="87" spans="1:5" ht="15.75" customHeight="1" x14ac:dyDescent="0.25"/>
    <row r="88" spans="1:5" ht="15.75" customHeight="1" x14ac:dyDescent="0.25"/>
    <row r="89" spans="1:5" ht="15.75" customHeight="1" x14ac:dyDescent="0.25"/>
    <row r="90" spans="1:5" ht="15.75" customHeight="1" x14ac:dyDescent="0.25"/>
    <row r="91" spans="1:5" ht="15.75" customHeight="1" x14ac:dyDescent="0.25"/>
    <row r="92" spans="1:5" ht="15.75" customHeight="1" x14ac:dyDescent="0.25"/>
    <row r="93" spans="1:5" ht="15.75" customHeight="1" x14ac:dyDescent="0.25"/>
    <row r="94" spans="1:5" ht="15.75" customHeight="1" x14ac:dyDescent="0.25"/>
    <row r="95" spans="1:5" ht="15.75" customHeight="1" x14ac:dyDescent="0.25"/>
    <row r="96" spans="1:5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</sheetData>
  <mergeCells count="27">
    <mergeCell ref="A80:B80"/>
    <mergeCell ref="A81:B81"/>
    <mergeCell ref="D70:D71"/>
    <mergeCell ref="A70:B71"/>
    <mergeCell ref="C70:C71"/>
    <mergeCell ref="A72:B72"/>
    <mergeCell ref="A73:B73"/>
    <mergeCell ref="A74:B74"/>
    <mergeCell ref="A75:B75"/>
    <mergeCell ref="A76:B76"/>
    <mergeCell ref="A77:B77"/>
    <mergeCell ref="A78:B78"/>
    <mergeCell ref="A79:B79"/>
    <mergeCell ref="E70:E71"/>
    <mergeCell ref="A54:G55"/>
    <mergeCell ref="A66:F66"/>
    <mergeCell ref="A57:F57"/>
    <mergeCell ref="A58:F58"/>
    <mergeCell ref="A59:F60"/>
    <mergeCell ref="G59:G60"/>
    <mergeCell ref="A61:F61"/>
    <mergeCell ref="A62:F62"/>
    <mergeCell ref="A67:F67"/>
    <mergeCell ref="A64:F64"/>
    <mergeCell ref="A65:F65"/>
    <mergeCell ref="A63:F63"/>
    <mergeCell ref="A56:F56"/>
  </mergeCells>
  <phoneticPr fontId="7" type="noConversion"/>
  <pageMargins left="0.75" right="0.75" top="1" bottom="1" header="0" footer="0"/>
  <pageSetup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B1184-4796-4CA5-84B0-9E6E6F9C6890}">
  <dimension ref="A1:B91"/>
  <sheetViews>
    <sheetView workbookViewId="0">
      <selection activeCell="N52" sqref="N52"/>
    </sheetView>
  </sheetViews>
  <sheetFormatPr defaultRowHeight="15" x14ac:dyDescent="0.25"/>
  <cols>
    <col min="1" max="1" width="15" bestFit="1" customWidth="1"/>
    <col min="2" max="2" width="16.28515625" bestFit="1" customWidth="1"/>
    <col min="3" max="3" width="24.5703125" bestFit="1" customWidth="1"/>
    <col min="4" max="4" width="11.28515625" bestFit="1" customWidth="1"/>
  </cols>
  <sheetData>
    <row r="1" spans="1:2" x14ac:dyDescent="0.25">
      <c r="A1" s="32" t="s">
        <v>12</v>
      </c>
      <c r="B1" t="s">
        <v>22</v>
      </c>
    </row>
    <row r="3" spans="1:2" x14ac:dyDescent="0.25">
      <c r="A3" s="32" t="s">
        <v>117</v>
      </c>
      <c r="B3" t="s">
        <v>119</v>
      </c>
    </row>
    <row r="4" spans="1:2" x14ac:dyDescent="0.25">
      <c r="A4" s="6" t="s">
        <v>18</v>
      </c>
      <c r="B4" s="90">
        <v>4</v>
      </c>
    </row>
    <row r="5" spans="1:2" x14ac:dyDescent="0.25">
      <c r="A5" s="6" t="s">
        <v>44</v>
      </c>
      <c r="B5" s="90">
        <v>1</v>
      </c>
    </row>
    <row r="6" spans="1:2" x14ac:dyDescent="0.25">
      <c r="A6" s="6" t="s">
        <v>39</v>
      </c>
      <c r="B6" s="90">
        <v>6</v>
      </c>
    </row>
    <row r="7" spans="1:2" x14ac:dyDescent="0.25">
      <c r="A7" s="6" t="s">
        <v>48</v>
      </c>
      <c r="B7" s="90">
        <v>3</v>
      </c>
    </row>
    <row r="8" spans="1:2" x14ac:dyDescent="0.25">
      <c r="A8" s="6" t="s">
        <v>50</v>
      </c>
      <c r="B8" s="90">
        <v>1</v>
      </c>
    </row>
    <row r="9" spans="1:2" x14ac:dyDescent="0.25">
      <c r="A9" s="6" t="s">
        <v>52</v>
      </c>
      <c r="B9" s="90">
        <v>3</v>
      </c>
    </row>
    <row r="10" spans="1:2" x14ac:dyDescent="0.25">
      <c r="A10" s="6" t="s">
        <v>35</v>
      </c>
      <c r="B10" s="90">
        <v>2</v>
      </c>
    </row>
    <row r="11" spans="1:2" x14ac:dyDescent="0.25">
      <c r="A11" s="6" t="s">
        <v>27</v>
      </c>
      <c r="B11" s="90">
        <v>3</v>
      </c>
    </row>
    <row r="12" spans="1:2" x14ac:dyDescent="0.25">
      <c r="A12" s="6" t="s">
        <v>32</v>
      </c>
      <c r="B12" s="90">
        <v>3</v>
      </c>
    </row>
    <row r="13" spans="1:2" x14ac:dyDescent="0.25">
      <c r="A13" s="6" t="s">
        <v>42</v>
      </c>
      <c r="B13" s="90">
        <v>4</v>
      </c>
    </row>
    <row r="14" spans="1:2" x14ac:dyDescent="0.25">
      <c r="A14" s="6" t="s">
        <v>118</v>
      </c>
      <c r="B14" s="90">
        <v>30</v>
      </c>
    </row>
    <row r="22" spans="1:2" x14ac:dyDescent="0.25">
      <c r="A22" s="32" t="s">
        <v>117</v>
      </c>
      <c r="B22" t="s">
        <v>156</v>
      </c>
    </row>
    <row r="23" spans="1:2" x14ac:dyDescent="0.25">
      <c r="A23" s="6" t="s">
        <v>131</v>
      </c>
      <c r="B23" s="91">
        <v>120.65</v>
      </c>
    </row>
    <row r="24" spans="1:2" x14ac:dyDescent="0.25">
      <c r="A24" s="6" t="s">
        <v>132</v>
      </c>
      <c r="B24" s="91">
        <v>105.21</v>
      </c>
    </row>
    <row r="25" spans="1:2" x14ac:dyDescent="0.25">
      <c r="A25" s="6" t="s">
        <v>140</v>
      </c>
      <c r="B25" s="91">
        <v>363.07</v>
      </c>
    </row>
    <row r="26" spans="1:2" x14ac:dyDescent="0.25">
      <c r="A26" s="6" t="s">
        <v>134</v>
      </c>
      <c r="B26" s="91">
        <v>37.39</v>
      </c>
    </row>
    <row r="27" spans="1:2" x14ac:dyDescent="0.25">
      <c r="A27" s="6" t="s">
        <v>125</v>
      </c>
      <c r="B27" s="91">
        <v>140.79</v>
      </c>
    </row>
    <row r="28" spans="1:2" x14ac:dyDescent="0.25">
      <c r="A28" s="6" t="s">
        <v>141</v>
      </c>
      <c r="B28" s="91">
        <v>197.55</v>
      </c>
    </row>
    <row r="29" spans="1:2" x14ac:dyDescent="0.25">
      <c r="A29" s="6" t="s">
        <v>146</v>
      </c>
      <c r="B29" s="91">
        <v>100.52</v>
      </c>
    </row>
    <row r="30" spans="1:2" x14ac:dyDescent="0.25">
      <c r="A30" s="6" t="s">
        <v>135</v>
      </c>
      <c r="B30" s="91">
        <v>58.08</v>
      </c>
    </row>
    <row r="31" spans="1:2" x14ac:dyDescent="0.25">
      <c r="A31" s="6" t="s">
        <v>147</v>
      </c>
      <c r="B31" s="91">
        <v>85.04</v>
      </c>
    </row>
    <row r="32" spans="1:2" x14ac:dyDescent="0.25">
      <c r="A32" s="6" t="s">
        <v>142</v>
      </c>
      <c r="B32" s="91">
        <v>131.01</v>
      </c>
    </row>
    <row r="33" spans="1:2" x14ac:dyDescent="0.25">
      <c r="A33" s="6" t="s">
        <v>126</v>
      </c>
      <c r="B33" s="91">
        <v>70.400000000000006</v>
      </c>
    </row>
    <row r="34" spans="1:2" x14ac:dyDescent="0.25">
      <c r="A34" s="6" t="s">
        <v>148</v>
      </c>
      <c r="B34" s="91">
        <v>110.46</v>
      </c>
    </row>
    <row r="35" spans="1:2" x14ac:dyDescent="0.25">
      <c r="A35" s="6" t="s">
        <v>143</v>
      </c>
      <c r="B35" s="91">
        <v>121.36</v>
      </c>
    </row>
    <row r="36" spans="1:2" x14ac:dyDescent="0.25">
      <c r="A36" s="6" t="s">
        <v>149</v>
      </c>
      <c r="B36" s="91">
        <v>119.57000000000001</v>
      </c>
    </row>
    <row r="37" spans="1:2" x14ac:dyDescent="0.25">
      <c r="A37" s="6" t="s">
        <v>127</v>
      </c>
      <c r="B37" s="91">
        <v>151.29</v>
      </c>
    </row>
    <row r="38" spans="1:2" x14ac:dyDescent="0.25">
      <c r="A38" s="6" t="s">
        <v>144</v>
      </c>
      <c r="B38" s="91">
        <v>113.22</v>
      </c>
    </row>
    <row r="39" spans="1:2" x14ac:dyDescent="0.25">
      <c r="A39" s="6" t="s">
        <v>136</v>
      </c>
      <c r="B39" s="91">
        <v>126.17</v>
      </c>
    </row>
    <row r="40" spans="1:2" x14ac:dyDescent="0.25">
      <c r="A40" s="6" t="s">
        <v>128</v>
      </c>
      <c r="B40" s="91">
        <v>170.84</v>
      </c>
    </row>
    <row r="41" spans="1:2" x14ac:dyDescent="0.25">
      <c r="A41" s="6" t="s">
        <v>151</v>
      </c>
      <c r="B41" s="91">
        <v>106.83</v>
      </c>
    </row>
    <row r="42" spans="1:2" x14ac:dyDescent="0.25">
      <c r="A42" s="6" t="s">
        <v>154</v>
      </c>
      <c r="B42" s="91">
        <v>182.12</v>
      </c>
    </row>
    <row r="43" spans="1:2" x14ac:dyDescent="0.25">
      <c r="A43" s="6" t="s">
        <v>137</v>
      </c>
      <c r="B43" s="91">
        <v>399.86</v>
      </c>
    </row>
    <row r="44" spans="1:2" x14ac:dyDescent="0.25">
      <c r="A44" s="6" t="s">
        <v>129</v>
      </c>
      <c r="B44" s="91">
        <v>51.77</v>
      </c>
    </row>
    <row r="45" spans="1:2" x14ac:dyDescent="0.25">
      <c r="A45" s="6" t="s">
        <v>138</v>
      </c>
      <c r="B45" s="91">
        <v>60</v>
      </c>
    </row>
    <row r="46" spans="1:2" x14ac:dyDescent="0.25">
      <c r="A46" s="6" t="s">
        <v>130</v>
      </c>
      <c r="B46" s="91">
        <v>276.51</v>
      </c>
    </row>
    <row r="47" spans="1:2" x14ac:dyDescent="0.25">
      <c r="A47" s="6" t="s">
        <v>133</v>
      </c>
      <c r="B47" s="91">
        <v>410.92000000000007</v>
      </c>
    </row>
    <row r="48" spans="1:2" x14ac:dyDescent="0.25">
      <c r="A48" s="6" t="s">
        <v>139</v>
      </c>
      <c r="B48" s="91">
        <v>153.35</v>
      </c>
    </row>
    <row r="49" spans="1:2" x14ac:dyDescent="0.25">
      <c r="A49" s="6" t="s">
        <v>152</v>
      </c>
      <c r="B49" s="91">
        <v>154.69999999999999</v>
      </c>
    </row>
    <row r="50" spans="1:2" x14ac:dyDescent="0.25">
      <c r="A50" s="6" t="s">
        <v>145</v>
      </c>
      <c r="B50" s="91">
        <v>151.18</v>
      </c>
    </row>
    <row r="51" spans="1:2" x14ac:dyDescent="0.25">
      <c r="A51" s="6" t="s">
        <v>155</v>
      </c>
      <c r="B51" s="91">
        <v>107.23</v>
      </c>
    </row>
    <row r="52" spans="1:2" x14ac:dyDescent="0.25">
      <c r="A52" s="6" t="s">
        <v>150</v>
      </c>
      <c r="B52" s="91">
        <v>219.51</v>
      </c>
    </row>
    <row r="53" spans="1:2" x14ac:dyDescent="0.25">
      <c r="A53" s="6" t="s">
        <v>153</v>
      </c>
      <c r="B53" s="91">
        <v>33.200000000000003</v>
      </c>
    </row>
    <row r="54" spans="1:2" x14ac:dyDescent="0.25">
      <c r="A54" s="6" t="s">
        <v>118</v>
      </c>
      <c r="B54" s="91">
        <v>4629.8</v>
      </c>
    </row>
    <row r="59" spans="1:2" x14ac:dyDescent="0.25">
      <c r="A59" s="32" t="s">
        <v>117</v>
      </c>
      <c r="B59" t="s">
        <v>157</v>
      </c>
    </row>
    <row r="60" spans="1:2" x14ac:dyDescent="0.25">
      <c r="A60" s="6" t="s">
        <v>9</v>
      </c>
      <c r="B60" s="91">
        <v>32.799054348296977</v>
      </c>
    </row>
    <row r="61" spans="1:2" x14ac:dyDescent="0.25">
      <c r="A61" s="6" t="s">
        <v>13</v>
      </c>
      <c r="B61" s="91">
        <v>78.132900693037101</v>
      </c>
    </row>
    <row r="62" spans="1:2" x14ac:dyDescent="0.25">
      <c r="A62" s="6" t="s">
        <v>16</v>
      </c>
      <c r="B62" s="91">
        <v>24.119439573842254</v>
      </c>
    </row>
    <row r="63" spans="1:2" x14ac:dyDescent="0.25">
      <c r="A63" s="6" t="s">
        <v>17</v>
      </c>
      <c r="B63" s="91">
        <v>115.09408402589992</v>
      </c>
    </row>
    <row r="64" spans="1:2" x14ac:dyDescent="0.25">
      <c r="A64" s="6" t="s">
        <v>23</v>
      </c>
      <c r="B64" s="91">
        <v>116.82542342047677</v>
      </c>
    </row>
    <row r="65" spans="1:2" x14ac:dyDescent="0.25">
      <c r="A65" s="6" t="s">
        <v>24</v>
      </c>
      <c r="B65" s="91">
        <v>216.09172972418634</v>
      </c>
    </row>
    <row r="66" spans="1:2" x14ac:dyDescent="0.25">
      <c r="A66" s="6" t="s">
        <v>26</v>
      </c>
      <c r="B66" s="91">
        <v>91.76442439714711</v>
      </c>
    </row>
    <row r="67" spans="1:2" x14ac:dyDescent="0.25">
      <c r="A67" s="6" t="s">
        <v>118</v>
      </c>
      <c r="B67" s="91">
        <v>674.82705618288639</v>
      </c>
    </row>
    <row r="73" spans="1:2" x14ac:dyDescent="0.25">
      <c r="A73" s="32" t="s">
        <v>117</v>
      </c>
      <c r="B73" t="s">
        <v>158</v>
      </c>
    </row>
    <row r="74" spans="1:2" x14ac:dyDescent="0.25">
      <c r="A74" s="6" t="s">
        <v>9</v>
      </c>
      <c r="B74" s="92">
        <v>16899</v>
      </c>
    </row>
    <row r="75" spans="1:2" x14ac:dyDescent="0.25">
      <c r="A75" s="6" t="s">
        <v>13</v>
      </c>
      <c r="B75" s="92">
        <v>47432</v>
      </c>
    </row>
    <row r="76" spans="1:2" x14ac:dyDescent="0.25">
      <c r="A76" s="6" t="s">
        <v>16</v>
      </c>
      <c r="B76" s="92">
        <v>36062</v>
      </c>
    </row>
    <row r="77" spans="1:2" x14ac:dyDescent="0.25">
      <c r="A77" s="6" t="s">
        <v>17</v>
      </c>
      <c r="B77" s="92">
        <v>81297</v>
      </c>
    </row>
    <row r="78" spans="1:2" x14ac:dyDescent="0.25">
      <c r="A78" s="6" t="s">
        <v>23</v>
      </c>
      <c r="B78" s="92">
        <v>177510</v>
      </c>
    </row>
    <row r="79" spans="1:2" x14ac:dyDescent="0.25">
      <c r="A79" s="6" t="s">
        <v>24</v>
      </c>
      <c r="B79" s="92">
        <v>70968</v>
      </c>
    </row>
    <row r="80" spans="1:2" x14ac:dyDescent="0.25">
      <c r="A80" s="6" t="s">
        <v>26</v>
      </c>
      <c r="B80" s="92">
        <v>89859</v>
      </c>
    </row>
    <row r="81" spans="1:2" x14ac:dyDescent="0.25">
      <c r="A81" s="6" t="s">
        <v>118</v>
      </c>
      <c r="B81" s="92">
        <v>520027</v>
      </c>
    </row>
    <row r="86" spans="1:2" x14ac:dyDescent="0.25">
      <c r="A86" s="32" t="s">
        <v>12</v>
      </c>
      <c r="B86" t="s">
        <v>124</v>
      </c>
    </row>
    <row r="88" spans="1:2" x14ac:dyDescent="0.25">
      <c r="A88" s="32" t="s">
        <v>117</v>
      </c>
      <c r="B88" t="s">
        <v>161</v>
      </c>
    </row>
    <row r="89" spans="1:2" x14ac:dyDescent="0.25">
      <c r="A89" s="6" t="s">
        <v>159</v>
      </c>
      <c r="B89" s="90">
        <v>21</v>
      </c>
    </row>
    <row r="90" spans="1:2" x14ac:dyDescent="0.25">
      <c r="A90" s="6" t="s">
        <v>160</v>
      </c>
      <c r="B90" s="90">
        <v>29</v>
      </c>
    </row>
    <row r="91" spans="1:2" x14ac:dyDescent="0.25">
      <c r="A91" s="6" t="s">
        <v>118</v>
      </c>
      <c r="B91" s="90">
        <v>50</v>
      </c>
    </row>
  </sheetData>
  <pageMargins left="0.7" right="0.7" top="0.75" bottom="0.75" header="0.3" footer="0.3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E53C1-F2E7-4951-8230-5C6F9D6A4381}">
  <dimension ref="A1:Q10"/>
  <sheetViews>
    <sheetView workbookViewId="0">
      <selection activeCell="G24" sqref="G24"/>
    </sheetView>
  </sheetViews>
  <sheetFormatPr defaultRowHeight="15" x14ac:dyDescent="0.25"/>
  <sheetData>
    <row r="1" spans="1:17" ht="18.75" customHeight="1" x14ac:dyDescent="0.25">
      <c r="A1" s="98" t="s">
        <v>162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</row>
    <row r="2" spans="1:17" x14ac:dyDescent="0.25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</row>
    <row r="3" spans="1:17" x14ac:dyDescent="0.25">
      <c r="A3" s="96">
        <v>1</v>
      </c>
      <c r="B3" s="97" t="s">
        <v>163</v>
      </c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</row>
    <row r="4" spans="1:17" x14ac:dyDescent="0.25">
      <c r="A4" s="96">
        <v>2</v>
      </c>
      <c r="B4" s="97" t="s">
        <v>164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</row>
    <row r="5" spans="1:17" x14ac:dyDescent="0.25">
      <c r="A5" s="96">
        <v>3</v>
      </c>
      <c r="B5" s="97" t="s">
        <v>165</v>
      </c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</row>
    <row r="6" spans="1:17" x14ac:dyDescent="0.25">
      <c r="A6" s="96">
        <v>4</v>
      </c>
      <c r="B6" s="97" t="s">
        <v>166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</row>
    <row r="7" spans="1:17" x14ac:dyDescent="0.25">
      <c r="A7" s="96">
        <v>5</v>
      </c>
      <c r="B7" s="97" t="s">
        <v>167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</row>
    <row r="8" spans="1:17" x14ac:dyDescent="0.25">
      <c r="A8" s="96">
        <v>6</v>
      </c>
      <c r="B8" s="97" t="s">
        <v>168</v>
      </c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</row>
    <row r="9" spans="1:17" x14ac:dyDescent="0.25">
      <c r="A9" s="96">
        <v>7</v>
      </c>
      <c r="B9" s="97" t="s">
        <v>169</v>
      </c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</row>
    <row r="10" spans="1:17" x14ac:dyDescent="0.25">
      <c r="A10" s="96">
        <v>8</v>
      </c>
      <c r="B10" s="97" t="s">
        <v>170</v>
      </c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</row>
  </sheetData>
  <mergeCells count="9">
    <mergeCell ref="B8:Q8"/>
    <mergeCell ref="B9:Q9"/>
    <mergeCell ref="B10:Q10"/>
    <mergeCell ref="A1:Q2"/>
    <mergeCell ref="B3:Q3"/>
    <mergeCell ref="B4:Q4"/>
    <mergeCell ref="B5:Q5"/>
    <mergeCell ref="B6:Q6"/>
    <mergeCell ref="B7:Q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AC2EDF-44B7-480B-A420-2C1BE2173C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Vehicle_Master</vt:lpstr>
      <vt:lpstr>Trip_Data_worksheet</vt:lpstr>
      <vt:lpstr>pivot analysis</vt:lpstr>
      <vt:lpstr>workdone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juliet james</cp:lastModifiedBy>
  <dcterms:created xsi:type="dcterms:W3CDTF">2025-08-18T10:15:23Z</dcterms:created>
  <dcterms:modified xsi:type="dcterms:W3CDTF">2026-08-13T05:34:25Z</dcterms:modified>
</cp:coreProperties>
</file>